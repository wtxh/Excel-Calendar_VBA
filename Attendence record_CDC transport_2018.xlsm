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ishi\Downloads\"/>
    </mc:Choice>
  </mc:AlternateContent>
  <bookViews>
    <workbookView xWindow="0" yWindow="0" windowWidth="20490" windowHeight="7755" tabRatio="708" activeTab="1"/>
  </bookViews>
  <sheets>
    <sheet name="2018.1" sheetId="2" r:id="rId1"/>
    <sheet name="2018.2" sheetId="1" r:id="rId2"/>
    <sheet name="2018.3" sheetId="3" r:id="rId3"/>
    <sheet name="2018.4" sheetId="4" r:id="rId4"/>
    <sheet name="2018.5" sheetId="5" r:id="rId5"/>
    <sheet name="2018.6" sheetId="6" r:id="rId6"/>
    <sheet name="2018.7" sheetId="7" r:id="rId7"/>
    <sheet name="2018.8" sheetId="8" r:id="rId8"/>
    <sheet name="2018.9" sheetId="9" r:id="rId9"/>
    <sheet name="2018.10" sheetId="10" r:id="rId10"/>
    <sheet name="2018.11" sheetId="11" r:id="rId11"/>
    <sheet name="2018.12" sheetId="12" r:id="rId12"/>
    <sheet name="Config" sheetId="13" r:id="rId13"/>
  </sheets>
  <externalReferences>
    <externalReference r:id="rId14"/>
  </externalReferenc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6" i="1" l="1"/>
  <c r="R26" i="1"/>
  <c r="M26" i="1"/>
  <c r="H26" i="1"/>
  <c r="W25" i="1"/>
  <c r="R25" i="1"/>
  <c r="M25" i="1"/>
  <c r="H25" i="1"/>
  <c r="W24" i="1"/>
  <c r="R24" i="1"/>
  <c r="M24" i="1"/>
  <c r="H24" i="1"/>
  <c r="W23" i="1"/>
  <c r="R23" i="1"/>
  <c r="M23" i="1"/>
  <c r="H23" i="1"/>
  <c r="W22" i="1"/>
  <c r="W29" i="1" s="1"/>
  <c r="R22" i="1"/>
  <c r="M22" i="1"/>
  <c r="M29" i="1" s="1"/>
  <c r="H22" i="1"/>
  <c r="W18" i="1"/>
  <c r="R18" i="1"/>
  <c r="M18" i="1"/>
  <c r="H18" i="1"/>
  <c r="W17" i="1"/>
  <c r="R17" i="1"/>
  <c r="M17" i="1"/>
  <c r="H17" i="1"/>
  <c r="W16" i="1"/>
  <c r="R16" i="1"/>
  <c r="M16" i="1"/>
  <c r="H16" i="1"/>
  <c r="W15" i="1"/>
  <c r="R15" i="1"/>
  <c r="M15" i="1"/>
  <c r="H15" i="1"/>
  <c r="W14" i="1"/>
  <c r="W21" i="1" s="1"/>
  <c r="R14" i="1"/>
  <c r="R21" i="1" s="1"/>
  <c r="M14" i="1"/>
  <c r="M21" i="1" s="1"/>
  <c r="H14" i="1"/>
  <c r="H21" i="1" s="1"/>
  <c r="W10" i="1"/>
  <c r="R10" i="1"/>
  <c r="M10" i="1"/>
  <c r="H10" i="1"/>
  <c r="W9" i="1"/>
  <c r="W13" i="1" s="1"/>
  <c r="R9" i="1"/>
  <c r="R13" i="1" s="1"/>
  <c r="M9" i="1"/>
  <c r="M13" i="1" s="1"/>
  <c r="H9" i="1"/>
  <c r="H13" i="1" s="1"/>
  <c r="W43" i="2"/>
  <c r="R43" i="2"/>
  <c r="M43" i="2"/>
  <c r="H43" i="2"/>
  <c r="W42" i="2"/>
  <c r="R42" i="2"/>
  <c r="M42" i="2"/>
  <c r="H42" i="2"/>
  <c r="W41" i="2"/>
  <c r="R41" i="2"/>
  <c r="M41" i="2"/>
  <c r="H41" i="2"/>
  <c r="W37" i="2"/>
  <c r="R37" i="2"/>
  <c r="M37" i="2"/>
  <c r="H37" i="2"/>
  <c r="W36" i="2"/>
  <c r="R36" i="2"/>
  <c r="R40" i="2" s="1"/>
  <c r="M36" i="2"/>
  <c r="H36" i="2"/>
  <c r="W35" i="2"/>
  <c r="M35" i="2"/>
  <c r="W34" i="2"/>
  <c r="R34" i="2"/>
  <c r="M34" i="2"/>
  <c r="H34" i="2"/>
  <c r="W33" i="2"/>
  <c r="W40" i="2" s="1"/>
  <c r="R33" i="2"/>
  <c r="M33" i="2"/>
  <c r="M40" i="2" s="1"/>
  <c r="H33" i="2"/>
  <c r="H40" i="2" s="1"/>
  <c r="W29" i="2"/>
  <c r="R29" i="2"/>
  <c r="M29" i="2"/>
  <c r="H29" i="2"/>
  <c r="W28" i="2"/>
  <c r="R28" i="2"/>
  <c r="M28" i="2"/>
  <c r="H28" i="2"/>
  <c r="W27" i="2"/>
  <c r="R27" i="2"/>
  <c r="M27" i="2"/>
  <c r="H27" i="2"/>
  <c r="W26" i="2"/>
  <c r="R26" i="2"/>
  <c r="M26" i="2"/>
  <c r="H26" i="2"/>
  <c r="W25" i="2"/>
  <c r="W32" i="2" s="1"/>
  <c r="R25" i="2"/>
  <c r="R32" i="2" s="1"/>
  <c r="M25" i="2"/>
  <c r="M32" i="2" s="1"/>
  <c r="H25" i="2"/>
  <c r="H32" i="2" s="1"/>
  <c r="W21" i="2"/>
  <c r="R21" i="2"/>
  <c r="M21" i="2"/>
  <c r="H21" i="2"/>
  <c r="W20" i="2"/>
  <c r="R20" i="2"/>
  <c r="M20" i="2"/>
  <c r="H20" i="2"/>
  <c r="W19" i="2"/>
  <c r="R19" i="2"/>
  <c r="M19" i="2"/>
  <c r="H19" i="2"/>
  <c r="W18" i="2"/>
  <c r="R18" i="2"/>
  <c r="M18" i="2"/>
  <c r="H18" i="2"/>
  <c r="W17" i="2"/>
  <c r="W24" i="2" s="1"/>
  <c r="R17" i="2"/>
  <c r="R24" i="2" s="1"/>
  <c r="M17" i="2"/>
  <c r="M24" i="2" s="1"/>
  <c r="H17" i="2"/>
  <c r="H24" i="2" s="1"/>
  <c r="W13" i="2"/>
  <c r="R13" i="2"/>
  <c r="M13" i="2"/>
  <c r="H13" i="2"/>
  <c r="W12" i="2"/>
  <c r="R12" i="2"/>
  <c r="M12" i="2"/>
  <c r="H12" i="2"/>
  <c r="W11" i="2"/>
  <c r="R11" i="2"/>
  <c r="M11" i="2"/>
  <c r="H11" i="2"/>
  <c r="W10" i="2"/>
  <c r="R10" i="2"/>
  <c r="M10" i="2"/>
  <c r="H10" i="2"/>
  <c r="W9" i="2"/>
  <c r="W16" i="2" s="1"/>
  <c r="W44" i="2" s="1"/>
  <c r="R9" i="2"/>
  <c r="R16" i="2" s="1"/>
  <c r="R44" i="2" s="1"/>
  <c r="M9" i="2"/>
  <c r="M16" i="2" s="1"/>
  <c r="M44" i="2" s="1"/>
  <c r="H9" i="2"/>
  <c r="H16" i="2" s="1"/>
  <c r="H44" i="2" s="1"/>
  <c r="H32" i="1"/>
  <c r="H29" i="1"/>
  <c r="H37" i="1"/>
  <c r="H33" i="1"/>
  <c r="W44" i="12"/>
  <c r="R44" i="12"/>
  <c r="M44" i="12"/>
  <c r="H44" i="12"/>
  <c r="W43" i="12"/>
  <c r="R43" i="12"/>
  <c r="M43" i="12"/>
  <c r="H43" i="12"/>
  <c r="W40" i="12"/>
  <c r="R40" i="12"/>
  <c r="M40" i="12"/>
  <c r="H40" i="12"/>
  <c r="W39" i="12"/>
  <c r="R39" i="12"/>
  <c r="M39" i="12"/>
  <c r="H39" i="12"/>
  <c r="W38" i="12"/>
  <c r="R38" i="12"/>
  <c r="M38" i="12"/>
  <c r="H38" i="12"/>
  <c r="W37" i="12"/>
  <c r="R37" i="12"/>
  <c r="M37" i="12"/>
  <c r="H37" i="12"/>
  <c r="W36" i="12"/>
  <c r="R36" i="12"/>
  <c r="M36" i="12"/>
  <c r="H36" i="12"/>
  <c r="W35" i="12"/>
  <c r="R35" i="12"/>
  <c r="M35" i="12"/>
  <c r="H35" i="12"/>
  <c r="W32" i="12"/>
  <c r="R32" i="12"/>
  <c r="M32" i="12"/>
  <c r="H32" i="12"/>
  <c r="W31" i="12"/>
  <c r="R31" i="12"/>
  <c r="M31" i="12"/>
  <c r="H31" i="12"/>
  <c r="W30" i="12"/>
  <c r="R30" i="12"/>
  <c r="M30" i="12"/>
  <c r="H30" i="12"/>
  <c r="W29" i="12"/>
  <c r="R29" i="12"/>
  <c r="M29" i="12"/>
  <c r="H29" i="12"/>
  <c r="W28" i="12"/>
  <c r="R28" i="12"/>
  <c r="M28" i="12"/>
  <c r="H28" i="12"/>
  <c r="W27" i="12"/>
  <c r="R27" i="12"/>
  <c r="M27" i="12"/>
  <c r="H27" i="12"/>
  <c r="W24" i="12"/>
  <c r="R24" i="12"/>
  <c r="M24" i="12"/>
  <c r="H24" i="12"/>
  <c r="W23" i="12"/>
  <c r="R23" i="12"/>
  <c r="M23" i="12"/>
  <c r="H23" i="12"/>
  <c r="W22" i="12"/>
  <c r="R22" i="12"/>
  <c r="M22" i="12"/>
  <c r="H22" i="12"/>
  <c r="W21" i="12"/>
  <c r="R21" i="12"/>
  <c r="M21" i="12"/>
  <c r="H21" i="12"/>
  <c r="W20" i="12"/>
  <c r="R20" i="12"/>
  <c r="M20" i="12"/>
  <c r="H20" i="12"/>
  <c r="W19" i="12"/>
  <c r="R19" i="12"/>
  <c r="M19" i="12"/>
  <c r="H19" i="12"/>
  <c r="W16" i="12"/>
  <c r="R16" i="12"/>
  <c r="M16" i="12"/>
  <c r="H16" i="12"/>
  <c r="W15" i="12"/>
  <c r="R15" i="12"/>
  <c r="M15" i="12"/>
  <c r="H15" i="12"/>
  <c r="W14" i="12"/>
  <c r="R14" i="12"/>
  <c r="M14" i="12"/>
  <c r="H14" i="12"/>
  <c r="W13" i="12"/>
  <c r="R13" i="12"/>
  <c r="M13" i="12"/>
  <c r="H13" i="12"/>
  <c r="W12" i="12"/>
  <c r="R12" i="12"/>
  <c r="M12" i="12"/>
  <c r="H12" i="12"/>
  <c r="W11" i="12"/>
  <c r="R11" i="12"/>
  <c r="M11" i="12"/>
  <c r="H11" i="12"/>
  <c r="W42" i="11"/>
  <c r="R42" i="11"/>
  <c r="M42" i="11"/>
  <c r="H42" i="11"/>
  <c r="W41" i="11"/>
  <c r="R41" i="11"/>
  <c r="M41" i="11"/>
  <c r="H41" i="11"/>
  <c r="W40" i="11"/>
  <c r="R40" i="11"/>
  <c r="M40" i="11"/>
  <c r="H40" i="11"/>
  <c r="W39" i="11"/>
  <c r="R39" i="11"/>
  <c r="M39" i="11"/>
  <c r="H39" i="11"/>
  <c r="W38" i="11"/>
  <c r="R38" i="11"/>
  <c r="M38" i="11"/>
  <c r="H38" i="11"/>
  <c r="W37" i="11"/>
  <c r="R37" i="11"/>
  <c r="M37" i="11"/>
  <c r="H37" i="11"/>
  <c r="W34" i="11"/>
  <c r="R34" i="11"/>
  <c r="M34" i="11"/>
  <c r="H34" i="11"/>
  <c r="W33" i="11"/>
  <c r="R33" i="11"/>
  <c r="M33" i="11"/>
  <c r="H33" i="11"/>
  <c r="W32" i="11"/>
  <c r="R32" i="11"/>
  <c r="M32" i="11"/>
  <c r="H32" i="11"/>
  <c r="W31" i="11"/>
  <c r="R31" i="11"/>
  <c r="M31" i="11"/>
  <c r="H31" i="11"/>
  <c r="W30" i="11"/>
  <c r="R30" i="11"/>
  <c r="M30" i="11"/>
  <c r="H30" i="11"/>
  <c r="W29" i="11"/>
  <c r="R29" i="11"/>
  <c r="M29" i="11"/>
  <c r="H29" i="11"/>
  <c r="W26" i="11"/>
  <c r="R26" i="11"/>
  <c r="M26" i="11"/>
  <c r="H26" i="11"/>
  <c r="W25" i="11"/>
  <c r="R25" i="11"/>
  <c r="M25" i="11"/>
  <c r="H25" i="11"/>
  <c r="W24" i="11"/>
  <c r="R24" i="11"/>
  <c r="M24" i="11"/>
  <c r="H24" i="11"/>
  <c r="W23" i="11"/>
  <c r="R23" i="11"/>
  <c r="M23" i="11"/>
  <c r="H23" i="11"/>
  <c r="W22" i="11"/>
  <c r="R22" i="11"/>
  <c r="M22" i="11"/>
  <c r="H22" i="11"/>
  <c r="W21" i="11"/>
  <c r="R21" i="11"/>
  <c r="M21" i="11"/>
  <c r="H21" i="11"/>
  <c r="W18" i="11"/>
  <c r="R18" i="11"/>
  <c r="M18" i="11"/>
  <c r="H18" i="11"/>
  <c r="W17" i="11"/>
  <c r="R17" i="11"/>
  <c r="M17" i="11"/>
  <c r="H17" i="11"/>
  <c r="W16" i="11"/>
  <c r="R16" i="11"/>
  <c r="M16" i="11"/>
  <c r="H16" i="11"/>
  <c r="W15" i="11"/>
  <c r="R15" i="11"/>
  <c r="M15" i="11"/>
  <c r="H15" i="11"/>
  <c r="W14" i="11"/>
  <c r="R14" i="11"/>
  <c r="M14" i="11"/>
  <c r="H14" i="11"/>
  <c r="W13" i="11"/>
  <c r="R13" i="11"/>
  <c r="M13" i="11"/>
  <c r="H13" i="11"/>
  <c r="W10" i="11"/>
  <c r="R10" i="11"/>
  <c r="M10" i="11"/>
  <c r="H10" i="11"/>
  <c r="W9" i="11"/>
  <c r="R9" i="11"/>
  <c r="M9" i="11"/>
  <c r="H9" i="11"/>
  <c r="W43" i="10"/>
  <c r="R43" i="10"/>
  <c r="M43" i="10"/>
  <c r="H43" i="10"/>
  <c r="W42" i="10"/>
  <c r="R42" i="10"/>
  <c r="M42" i="10"/>
  <c r="H42" i="10"/>
  <c r="W41" i="10"/>
  <c r="R41" i="10"/>
  <c r="M41" i="10"/>
  <c r="H41" i="10"/>
  <c r="W40" i="10"/>
  <c r="R40" i="10"/>
  <c r="M40" i="10"/>
  <c r="H40" i="10"/>
  <c r="W37" i="10"/>
  <c r="R37" i="10"/>
  <c r="M37" i="10"/>
  <c r="H37" i="10"/>
  <c r="W36" i="10"/>
  <c r="R36" i="10"/>
  <c r="M36" i="10"/>
  <c r="H36" i="10"/>
  <c r="W35" i="10"/>
  <c r="R35" i="10"/>
  <c r="M35" i="10"/>
  <c r="H35" i="10"/>
  <c r="W34" i="10"/>
  <c r="R34" i="10"/>
  <c r="M34" i="10"/>
  <c r="H34" i="10"/>
  <c r="W33" i="10"/>
  <c r="R33" i="10"/>
  <c r="M33" i="10"/>
  <c r="H33" i="10"/>
  <c r="W32" i="10"/>
  <c r="R32" i="10"/>
  <c r="M32" i="10"/>
  <c r="H32" i="10"/>
  <c r="W29" i="10"/>
  <c r="R29" i="10"/>
  <c r="M29" i="10"/>
  <c r="H29" i="10"/>
  <c r="W28" i="10"/>
  <c r="R28" i="10"/>
  <c r="M28" i="10"/>
  <c r="H28" i="10"/>
  <c r="W27" i="10"/>
  <c r="R27" i="10"/>
  <c r="M27" i="10"/>
  <c r="H27" i="10"/>
  <c r="W26" i="10"/>
  <c r="R26" i="10"/>
  <c r="M26" i="10"/>
  <c r="H26" i="10"/>
  <c r="W25" i="10"/>
  <c r="R25" i="10"/>
  <c r="M25" i="10"/>
  <c r="H25" i="10"/>
  <c r="W24" i="10"/>
  <c r="R24" i="10"/>
  <c r="M24" i="10"/>
  <c r="H24" i="10"/>
  <c r="W21" i="10"/>
  <c r="R21" i="10"/>
  <c r="M21" i="10"/>
  <c r="H21" i="10"/>
  <c r="W20" i="10"/>
  <c r="R20" i="10"/>
  <c r="M20" i="10"/>
  <c r="H20" i="10"/>
  <c r="W19" i="10"/>
  <c r="R19" i="10"/>
  <c r="M19" i="10"/>
  <c r="H19" i="10"/>
  <c r="W18" i="10"/>
  <c r="R18" i="10"/>
  <c r="M18" i="10"/>
  <c r="H18" i="10"/>
  <c r="W17" i="10"/>
  <c r="R17" i="10"/>
  <c r="M17" i="10"/>
  <c r="H17" i="10"/>
  <c r="W16" i="10"/>
  <c r="R16" i="10"/>
  <c r="M16" i="10"/>
  <c r="H16" i="10"/>
  <c r="W13" i="10"/>
  <c r="R13" i="10"/>
  <c r="M13" i="10"/>
  <c r="H13" i="10"/>
  <c r="W12" i="10"/>
  <c r="R12" i="10"/>
  <c r="M12" i="10"/>
  <c r="H12" i="10"/>
  <c r="W11" i="10"/>
  <c r="R11" i="10"/>
  <c r="M11" i="10"/>
  <c r="H11" i="10"/>
  <c r="W10" i="10"/>
  <c r="R10" i="10"/>
  <c r="M10" i="10"/>
  <c r="H10" i="10"/>
  <c r="W9" i="10"/>
  <c r="R9" i="10"/>
  <c r="M9" i="10"/>
  <c r="H9" i="10"/>
  <c r="W43" i="9"/>
  <c r="R43" i="9"/>
  <c r="M43" i="9"/>
  <c r="H43" i="9"/>
  <c r="W40" i="9"/>
  <c r="R40" i="9"/>
  <c r="M40" i="9"/>
  <c r="H40" i="9"/>
  <c r="W39" i="9"/>
  <c r="R39" i="9"/>
  <c r="M39" i="9"/>
  <c r="H39" i="9"/>
  <c r="W38" i="9"/>
  <c r="R38" i="9"/>
  <c r="M38" i="9"/>
  <c r="H38" i="9"/>
  <c r="W37" i="9"/>
  <c r="R37" i="9"/>
  <c r="M37" i="9"/>
  <c r="H37" i="9"/>
  <c r="W36" i="9"/>
  <c r="R36" i="9"/>
  <c r="M36" i="9"/>
  <c r="H36" i="9"/>
  <c r="W35" i="9"/>
  <c r="R35" i="9"/>
  <c r="M35" i="9"/>
  <c r="H35" i="9"/>
  <c r="W32" i="9"/>
  <c r="R32" i="9"/>
  <c r="M32" i="9"/>
  <c r="H32" i="9"/>
  <c r="W31" i="9"/>
  <c r="R31" i="9"/>
  <c r="M31" i="9"/>
  <c r="H31" i="9"/>
  <c r="W30" i="9"/>
  <c r="R30" i="9"/>
  <c r="M30" i="9"/>
  <c r="H30" i="9"/>
  <c r="W29" i="9"/>
  <c r="R29" i="9"/>
  <c r="M29" i="9"/>
  <c r="H29" i="9"/>
  <c r="W28" i="9"/>
  <c r="R28" i="9"/>
  <c r="M28" i="9"/>
  <c r="H28" i="9"/>
  <c r="W27" i="9"/>
  <c r="R27" i="9"/>
  <c r="M27" i="9"/>
  <c r="H27" i="9"/>
  <c r="W24" i="9"/>
  <c r="R24" i="9"/>
  <c r="M24" i="9"/>
  <c r="H24" i="9"/>
  <c r="W23" i="9"/>
  <c r="R23" i="9"/>
  <c r="M23" i="9"/>
  <c r="H23" i="9"/>
  <c r="W22" i="9"/>
  <c r="R22" i="9"/>
  <c r="M22" i="9"/>
  <c r="H22" i="9"/>
  <c r="W21" i="9"/>
  <c r="R21" i="9"/>
  <c r="M21" i="9"/>
  <c r="H21" i="9"/>
  <c r="W20" i="9"/>
  <c r="R20" i="9"/>
  <c r="M20" i="9"/>
  <c r="H20" i="9"/>
  <c r="W19" i="9"/>
  <c r="R19" i="9"/>
  <c r="M19" i="9"/>
  <c r="H19" i="9"/>
  <c r="W16" i="9"/>
  <c r="R16" i="9"/>
  <c r="M16" i="9"/>
  <c r="H16" i="9"/>
  <c r="W15" i="9"/>
  <c r="R15" i="9"/>
  <c r="M15" i="9"/>
  <c r="H15" i="9"/>
  <c r="W14" i="9"/>
  <c r="R14" i="9"/>
  <c r="M14" i="9"/>
  <c r="H14" i="9"/>
  <c r="W13" i="9"/>
  <c r="R13" i="9"/>
  <c r="M13" i="9"/>
  <c r="H13" i="9"/>
  <c r="W12" i="9"/>
  <c r="R12" i="9"/>
  <c r="M12" i="9"/>
  <c r="H12" i="9"/>
  <c r="W11" i="9"/>
  <c r="R11" i="9"/>
  <c r="M11" i="9"/>
  <c r="H11" i="9"/>
  <c r="W43" i="8"/>
  <c r="R43" i="8"/>
  <c r="M43" i="8"/>
  <c r="H43" i="8"/>
  <c r="W42" i="8"/>
  <c r="R42" i="8"/>
  <c r="M42" i="8"/>
  <c r="H42" i="8"/>
  <c r="W41" i="8"/>
  <c r="R41" i="8"/>
  <c r="M41" i="8"/>
  <c r="H41" i="8"/>
  <c r="W40" i="8"/>
  <c r="R40" i="8"/>
  <c r="M40" i="8"/>
  <c r="H40" i="8"/>
  <c r="W39" i="8"/>
  <c r="R39" i="8"/>
  <c r="M39" i="8"/>
  <c r="H39" i="8"/>
  <c r="W38" i="8"/>
  <c r="R38" i="8"/>
  <c r="M38" i="8"/>
  <c r="H38" i="8"/>
  <c r="W35" i="8"/>
  <c r="R35" i="8"/>
  <c r="M35" i="8"/>
  <c r="H35" i="8"/>
  <c r="W34" i="8"/>
  <c r="R34" i="8"/>
  <c r="M34" i="8"/>
  <c r="H34" i="8"/>
  <c r="W33" i="8"/>
  <c r="R33" i="8"/>
  <c r="M33" i="8"/>
  <c r="H33" i="8"/>
  <c r="W32" i="8"/>
  <c r="R32" i="8"/>
  <c r="M32" i="8"/>
  <c r="H32" i="8"/>
  <c r="W31" i="8"/>
  <c r="R31" i="8"/>
  <c r="M31" i="8"/>
  <c r="H31" i="8"/>
  <c r="W30" i="8"/>
  <c r="R30" i="8"/>
  <c r="M30" i="8"/>
  <c r="H30" i="8"/>
  <c r="W27" i="8"/>
  <c r="R27" i="8"/>
  <c r="M27" i="8"/>
  <c r="H27" i="8"/>
  <c r="W26" i="8"/>
  <c r="R26" i="8"/>
  <c r="M26" i="8"/>
  <c r="H26" i="8"/>
  <c r="W25" i="8"/>
  <c r="R25" i="8"/>
  <c r="M25" i="8"/>
  <c r="H25" i="8"/>
  <c r="W24" i="8"/>
  <c r="R24" i="8"/>
  <c r="M24" i="8"/>
  <c r="H24" i="8"/>
  <c r="W23" i="8"/>
  <c r="R23" i="8"/>
  <c r="M23" i="8"/>
  <c r="H23" i="8"/>
  <c r="W22" i="8"/>
  <c r="R22" i="8"/>
  <c r="M22" i="8"/>
  <c r="H22" i="8"/>
  <c r="W19" i="8"/>
  <c r="R19" i="8"/>
  <c r="M19" i="8"/>
  <c r="H19" i="8"/>
  <c r="W18" i="8"/>
  <c r="R18" i="8"/>
  <c r="M18" i="8"/>
  <c r="H18" i="8"/>
  <c r="W17" i="8"/>
  <c r="R17" i="8"/>
  <c r="M17" i="8"/>
  <c r="H17" i="8"/>
  <c r="W16" i="8"/>
  <c r="R16" i="8"/>
  <c r="M16" i="8"/>
  <c r="H16" i="8"/>
  <c r="W15" i="8"/>
  <c r="R15" i="8"/>
  <c r="M15" i="8"/>
  <c r="H15" i="8"/>
  <c r="W14" i="8"/>
  <c r="R14" i="8"/>
  <c r="M14" i="8"/>
  <c r="H14" i="8"/>
  <c r="W11" i="8"/>
  <c r="R11" i="8"/>
  <c r="M11" i="8"/>
  <c r="H11" i="8"/>
  <c r="W10" i="8"/>
  <c r="R10" i="8"/>
  <c r="M10" i="8"/>
  <c r="H10" i="8"/>
  <c r="W9" i="8"/>
  <c r="R9" i="8"/>
  <c r="M9" i="8"/>
  <c r="H9" i="8"/>
  <c r="W44" i="7"/>
  <c r="R44" i="7"/>
  <c r="M44" i="7"/>
  <c r="H44" i="7"/>
  <c r="W43" i="7"/>
  <c r="R43" i="7"/>
  <c r="M43" i="7"/>
  <c r="H43" i="7"/>
  <c r="W42" i="7"/>
  <c r="R42" i="7"/>
  <c r="M42" i="7"/>
  <c r="H42" i="7"/>
  <c r="W39" i="7"/>
  <c r="R39" i="7"/>
  <c r="M39" i="7"/>
  <c r="H39" i="7"/>
  <c r="W38" i="7"/>
  <c r="R38" i="7"/>
  <c r="M38" i="7"/>
  <c r="H38" i="7"/>
  <c r="W37" i="7"/>
  <c r="R37" i="7"/>
  <c r="M37" i="7"/>
  <c r="H37" i="7"/>
  <c r="W36" i="7"/>
  <c r="R36" i="7"/>
  <c r="M36" i="7"/>
  <c r="H36" i="7"/>
  <c r="W35" i="7"/>
  <c r="R35" i="7"/>
  <c r="M35" i="7"/>
  <c r="H35" i="7"/>
  <c r="W34" i="7"/>
  <c r="R34" i="7"/>
  <c r="M34" i="7"/>
  <c r="H34" i="7"/>
  <c r="W31" i="7"/>
  <c r="R31" i="7"/>
  <c r="M31" i="7"/>
  <c r="H31" i="7"/>
  <c r="W30" i="7"/>
  <c r="R30" i="7"/>
  <c r="M30" i="7"/>
  <c r="H30" i="7"/>
  <c r="W29" i="7"/>
  <c r="R29" i="7"/>
  <c r="M29" i="7"/>
  <c r="H29" i="7"/>
  <c r="W28" i="7"/>
  <c r="R28" i="7"/>
  <c r="M28" i="7"/>
  <c r="H28" i="7"/>
  <c r="W27" i="7"/>
  <c r="R27" i="7"/>
  <c r="M27" i="7"/>
  <c r="H27" i="7"/>
  <c r="W26" i="7"/>
  <c r="R26" i="7"/>
  <c r="M26" i="7"/>
  <c r="H26" i="7"/>
  <c r="W23" i="7"/>
  <c r="R23" i="7"/>
  <c r="M23" i="7"/>
  <c r="H23" i="7"/>
  <c r="W22" i="7"/>
  <c r="R22" i="7"/>
  <c r="M22" i="7"/>
  <c r="H22" i="7"/>
  <c r="W21" i="7"/>
  <c r="R21" i="7"/>
  <c r="M21" i="7"/>
  <c r="H21" i="7"/>
  <c r="W20" i="7"/>
  <c r="R20" i="7"/>
  <c r="M20" i="7"/>
  <c r="H20" i="7"/>
  <c r="W19" i="7"/>
  <c r="R19" i="7"/>
  <c r="M19" i="7"/>
  <c r="H19" i="7"/>
  <c r="W18" i="7"/>
  <c r="R18" i="7"/>
  <c r="M18" i="7"/>
  <c r="H18" i="7"/>
  <c r="W15" i="7"/>
  <c r="R15" i="7"/>
  <c r="M15" i="7"/>
  <c r="H15" i="7"/>
  <c r="W14" i="7"/>
  <c r="R14" i="7"/>
  <c r="M14" i="7"/>
  <c r="H14" i="7"/>
  <c r="W13" i="7"/>
  <c r="R13" i="7"/>
  <c r="M13" i="7"/>
  <c r="H13" i="7"/>
  <c r="W12" i="7"/>
  <c r="R12" i="7"/>
  <c r="M12" i="7"/>
  <c r="H12" i="7"/>
  <c r="W11" i="7"/>
  <c r="R11" i="7"/>
  <c r="M11" i="7"/>
  <c r="H11" i="7"/>
  <c r="W10" i="7"/>
  <c r="R10" i="7"/>
  <c r="M10" i="7"/>
  <c r="H10" i="7"/>
  <c r="W41" i="6"/>
  <c r="R41" i="6"/>
  <c r="M41" i="6"/>
  <c r="H41" i="6"/>
  <c r="W40" i="6"/>
  <c r="R40" i="6"/>
  <c r="M40" i="6"/>
  <c r="H40" i="6"/>
  <c r="W39" i="6"/>
  <c r="R39" i="6"/>
  <c r="M39" i="6"/>
  <c r="H39" i="6"/>
  <c r="W38" i="6"/>
  <c r="R38" i="6"/>
  <c r="M38" i="6"/>
  <c r="H38" i="6"/>
  <c r="W37" i="6"/>
  <c r="R37" i="6"/>
  <c r="M37" i="6"/>
  <c r="H37" i="6"/>
  <c r="W36" i="6"/>
  <c r="R36" i="6"/>
  <c r="M36" i="6"/>
  <c r="H36" i="6"/>
  <c r="W33" i="6"/>
  <c r="R33" i="6"/>
  <c r="M33" i="6"/>
  <c r="H33" i="6"/>
  <c r="W32" i="6"/>
  <c r="R32" i="6"/>
  <c r="M32" i="6"/>
  <c r="H32" i="6"/>
  <c r="W31" i="6"/>
  <c r="R31" i="6"/>
  <c r="M31" i="6"/>
  <c r="H31" i="6"/>
  <c r="W30" i="6"/>
  <c r="R30" i="6"/>
  <c r="M30" i="6"/>
  <c r="H30" i="6"/>
  <c r="W29" i="6"/>
  <c r="R29" i="6"/>
  <c r="M29" i="6"/>
  <c r="H29" i="6"/>
  <c r="W28" i="6"/>
  <c r="R28" i="6"/>
  <c r="M28" i="6"/>
  <c r="H28" i="6"/>
  <c r="W25" i="6"/>
  <c r="R25" i="6"/>
  <c r="M25" i="6"/>
  <c r="H25" i="6"/>
  <c r="W24" i="6"/>
  <c r="R24" i="6"/>
  <c r="M24" i="6"/>
  <c r="H24" i="6"/>
  <c r="W23" i="6"/>
  <c r="R23" i="6"/>
  <c r="M23" i="6"/>
  <c r="H23" i="6"/>
  <c r="W22" i="6"/>
  <c r="R22" i="6"/>
  <c r="M22" i="6"/>
  <c r="H22" i="6"/>
  <c r="W21" i="6"/>
  <c r="R21" i="6"/>
  <c r="M21" i="6"/>
  <c r="H21" i="6"/>
  <c r="W20" i="6"/>
  <c r="R20" i="6"/>
  <c r="M20" i="6"/>
  <c r="H20" i="6"/>
  <c r="W17" i="6"/>
  <c r="R17" i="6"/>
  <c r="M17" i="6"/>
  <c r="H17" i="6"/>
  <c r="W16" i="6"/>
  <c r="R16" i="6"/>
  <c r="M16" i="6"/>
  <c r="H16" i="6"/>
  <c r="W15" i="6"/>
  <c r="R15" i="6"/>
  <c r="M15" i="6"/>
  <c r="H15" i="6"/>
  <c r="W14" i="6"/>
  <c r="R14" i="6"/>
  <c r="M14" i="6"/>
  <c r="H14" i="6"/>
  <c r="W13" i="6"/>
  <c r="R13" i="6"/>
  <c r="M13" i="6"/>
  <c r="H13" i="6"/>
  <c r="W12" i="6"/>
  <c r="R12" i="6"/>
  <c r="M12" i="6"/>
  <c r="H12" i="6"/>
  <c r="W9" i="6"/>
  <c r="R9" i="6"/>
  <c r="M9" i="6"/>
  <c r="H9" i="6"/>
  <c r="W43" i="5"/>
  <c r="R43" i="5"/>
  <c r="M43" i="5"/>
  <c r="H43" i="5"/>
  <c r="W42" i="5"/>
  <c r="R42" i="5"/>
  <c r="M42" i="5"/>
  <c r="H42" i="5"/>
  <c r="W41" i="5"/>
  <c r="R41" i="5"/>
  <c r="M41" i="5"/>
  <c r="H41" i="5"/>
  <c r="W40" i="5"/>
  <c r="R40" i="5"/>
  <c r="M40" i="5"/>
  <c r="H40" i="5"/>
  <c r="W39" i="5"/>
  <c r="R39" i="5"/>
  <c r="M39" i="5"/>
  <c r="H39" i="5"/>
  <c r="W36" i="5"/>
  <c r="R36" i="5"/>
  <c r="M36" i="5"/>
  <c r="H36" i="5"/>
  <c r="W35" i="5"/>
  <c r="R35" i="5"/>
  <c r="M35" i="5"/>
  <c r="H35" i="5"/>
  <c r="W34" i="5"/>
  <c r="R34" i="5"/>
  <c r="M34" i="5"/>
  <c r="H34" i="5"/>
  <c r="W33" i="5"/>
  <c r="R33" i="5"/>
  <c r="M33" i="5"/>
  <c r="H33" i="5"/>
  <c r="W32" i="5"/>
  <c r="R32" i="5"/>
  <c r="M32" i="5"/>
  <c r="H32" i="5"/>
  <c r="W31" i="5"/>
  <c r="R31" i="5"/>
  <c r="M31" i="5"/>
  <c r="H31" i="5"/>
  <c r="W28" i="5"/>
  <c r="R28" i="5"/>
  <c r="M28" i="5"/>
  <c r="H28" i="5"/>
  <c r="W27" i="5"/>
  <c r="R27" i="5"/>
  <c r="M27" i="5"/>
  <c r="H27" i="5"/>
  <c r="W26" i="5"/>
  <c r="R26" i="5"/>
  <c r="M26" i="5"/>
  <c r="H26" i="5"/>
  <c r="W25" i="5"/>
  <c r="R25" i="5"/>
  <c r="M25" i="5"/>
  <c r="H25" i="5"/>
  <c r="W24" i="5"/>
  <c r="R24" i="5"/>
  <c r="M24" i="5"/>
  <c r="H24" i="5"/>
  <c r="W23" i="5"/>
  <c r="R23" i="5"/>
  <c r="M23" i="5"/>
  <c r="H23" i="5"/>
  <c r="W20" i="5"/>
  <c r="R20" i="5"/>
  <c r="M20" i="5"/>
  <c r="H20" i="5"/>
  <c r="W19" i="5"/>
  <c r="R19" i="5"/>
  <c r="M19" i="5"/>
  <c r="H19" i="5"/>
  <c r="W18" i="5"/>
  <c r="R18" i="5"/>
  <c r="M18" i="5"/>
  <c r="H18" i="5"/>
  <c r="W17" i="5"/>
  <c r="R17" i="5"/>
  <c r="M17" i="5"/>
  <c r="H17" i="5"/>
  <c r="W16" i="5"/>
  <c r="R16" i="5"/>
  <c r="M16" i="5"/>
  <c r="H16" i="5"/>
  <c r="W15" i="5"/>
  <c r="R15" i="5"/>
  <c r="M15" i="5"/>
  <c r="H15" i="5"/>
  <c r="W12" i="5"/>
  <c r="R12" i="5"/>
  <c r="M12" i="5"/>
  <c r="H12" i="5"/>
  <c r="W11" i="5"/>
  <c r="R11" i="5"/>
  <c r="M11" i="5"/>
  <c r="H11" i="5"/>
  <c r="W10" i="5"/>
  <c r="R10" i="5"/>
  <c r="M10" i="5"/>
  <c r="H10" i="5"/>
  <c r="W9" i="5"/>
  <c r="R9" i="5"/>
  <c r="M9" i="5"/>
  <c r="H9" i="5"/>
  <c r="W43" i="4"/>
  <c r="R43" i="4"/>
  <c r="M43" i="4"/>
  <c r="H43" i="4"/>
  <c r="W42" i="4"/>
  <c r="R42" i="4"/>
  <c r="M42" i="4"/>
  <c r="H42" i="4"/>
  <c r="W39" i="4"/>
  <c r="R39" i="4"/>
  <c r="M39" i="4"/>
  <c r="H39" i="4"/>
  <c r="W38" i="4"/>
  <c r="R38" i="4"/>
  <c r="M38" i="4"/>
  <c r="H38" i="4"/>
  <c r="W37" i="4"/>
  <c r="R37" i="4"/>
  <c r="M37" i="4"/>
  <c r="H37" i="4"/>
  <c r="W36" i="4"/>
  <c r="R36" i="4"/>
  <c r="M36" i="4"/>
  <c r="H36" i="4"/>
  <c r="W35" i="4"/>
  <c r="R35" i="4"/>
  <c r="M35" i="4"/>
  <c r="H35" i="4"/>
  <c r="W34" i="4"/>
  <c r="R34" i="4"/>
  <c r="M34" i="4"/>
  <c r="H34" i="4"/>
  <c r="W31" i="4"/>
  <c r="R31" i="4"/>
  <c r="M31" i="4"/>
  <c r="H31" i="4"/>
  <c r="W30" i="4"/>
  <c r="R30" i="4"/>
  <c r="M30" i="4"/>
  <c r="H30" i="4"/>
  <c r="W29" i="4"/>
  <c r="R29" i="4"/>
  <c r="M29" i="4"/>
  <c r="H29" i="4"/>
  <c r="W28" i="4"/>
  <c r="R28" i="4"/>
  <c r="M28" i="4"/>
  <c r="H28" i="4"/>
  <c r="W27" i="4"/>
  <c r="R27" i="4"/>
  <c r="M27" i="4"/>
  <c r="H27" i="4"/>
  <c r="W26" i="4"/>
  <c r="R26" i="4"/>
  <c r="M26" i="4"/>
  <c r="H26" i="4"/>
  <c r="W23" i="4"/>
  <c r="R23" i="4"/>
  <c r="M23" i="4"/>
  <c r="H23" i="4"/>
  <c r="W22" i="4"/>
  <c r="R22" i="4"/>
  <c r="M22" i="4"/>
  <c r="H22" i="4"/>
  <c r="W21" i="4"/>
  <c r="R21" i="4"/>
  <c r="M21" i="4"/>
  <c r="H21" i="4"/>
  <c r="W20" i="4"/>
  <c r="R20" i="4"/>
  <c r="M20" i="4"/>
  <c r="H20" i="4"/>
  <c r="W19" i="4"/>
  <c r="R19" i="4"/>
  <c r="M19" i="4"/>
  <c r="H19" i="4"/>
  <c r="W18" i="4"/>
  <c r="R18" i="4"/>
  <c r="M18" i="4"/>
  <c r="H18" i="4"/>
  <c r="W15" i="4"/>
  <c r="R15" i="4"/>
  <c r="M15" i="4"/>
  <c r="H15" i="4"/>
  <c r="W14" i="4"/>
  <c r="R14" i="4"/>
  <c r="M14" i="4"/>
  <c r="H14" i="4"/>
  <c r="W13" i="4"/>
  <c r="R13" i="4"/>
  <c r="M13" i="4"/>
  <c r="H13" i="4"/>
  <c r="W12" i="4"/>
  <c r="R12" i="4"/>
  <c r="M12" i="4"/>
  <c r="H12" i="4"/>
  <c r="W11" i="4"/>
  <c r="R11" i="4"/>
  <c r="M11" i="4"/>
  <c r="H11" i="4"/>
  <c r="W10" i="4"/>
  <c r="R10" i="4"/>
  <c r="M10" i="4"/>
  <c r="H10" i="4"/>
  <c r="W42" i="3"/>
  <c r="R42" i="3"/>
  <c r="M42" i="3"/>
  <c r="H42" i="3"/>
  <c r="W41" i="3"/>
  <c r="R41" i="3"/>
  <c r="M41" i="3"/>
  <c r="H41" i="3"/>
  <c r="W40" i="3"/>
  <c r="R40" i="3"/>
  <c r="M40" i="3"/>
  <c r="H40" i="3"/>
  <c r="W39" i="3"/>
  <c r="R39" i="3"/>
  <c r="M39" i="3"/>
  <c r="H39" i="3"/>
  <c r="W38" i="3"/>
  <c r="R38" i="3"/>
  <c r="M38" i="3"/>
  <c r="H38" i="3"/>
  <c r="W37" i="3"/>
  <c r="R37" i="3"/>
  <c r="M37" i="3"/>
  <c r="H37" i="3"/>
  <c r="W34" i="3"/>
  <c r="R34" i="3"/>
  <c r="M34" i="3"/>
  <c r="H34" i="3"/>
  <c r="W33" i="3"/>
  <c r="R33" i="3"/>
  <c r="M33" i="3"/>
  <c r="H33" i="3"/>
  <c r="W32" i="3"/>
  <c r="R32" i="3"/>
  <c r="M32" i="3"/>
  <c r="H32" i="3"/>
  <c r="W31" i="3"/>
  <c r="R31" i="3"/>
  <c r="M31" i="3"/>
  <c r="H31" i="3"/>
  <c r="W30" i="3"/>
  <c r="R30" i="3"/>
  <c r="M30" i="3"/>
  <c r="H30" i="3"/>
  <c r="W29" i="3"/>
  <c r="R29" i="3"/>
  <c r="M29" i="3"/>
  <c r="H29" i="3"/>
  <c r="W26" i="3"/>
  <c r="R26" i="3"/>
  <c r="M26" i="3"/>
  <c r="H26" i="3"/>
  <c r="W25" i="3"/>
  <c r="R25" i="3"/>
  <c r="M25" i="3"/>
  <c r="H25" i="3"/>
  <c r="W24" i="3"/>
  <c r="R24" i="3"/>
  <c r="M24" i="3"/>
  <c r="H24" i="3"/>
  <c r="W23" i="3"/>
  <c r="R23" i="3"/>
  <c r="M23" i="3"/>
  <c r="H23" i="3"/>
  <c r="W22" i="3"/>
  <c r="R22" i="3"/>
  <c r="M22" i="3"/>
  <c r="H22" i="3"/>
  <c r="W21" i="3"/>
  <c r="R21" i="3"/>
  <c r="M21" i="3"/>
  <c r="H21" i="3"/>
  <c r="W18" i="3"/>
  <c r="R18" i="3"/>
  <c r="M18" i="3"/>
  <c r="H18" i="3"/>
  <c r="W17" i="3"/>
  <c r="R17" i="3"/>
  <c r="M17" i="3"/>
  <c r="H17" i="3"/>
  <c r="W16" i="3"/>
  <c r="R16" i="3"/>
  <c r="M16" i="3"/>
  <c r="H16" i="3"/>
  <c r="W15" i="3"/>
  <c r="R15" i="3"/>
  <c r="M15" i="3"/>
  <c r="H15" i="3"/>
  <c r="W14" i="3"/>
  <c r="R14" i="3"/>
  <c r="M14" i="3"/>
  <c r="H14" i="3"/>
  <c r="W13" i="3"/>
  <c r="R13" i="3"/>
  <c r="M13" i="3"/>
  <c r="H13" i="3"/>
  <c r="W10" i="3"/>
  <c r="R10" i="3"/>
  <c r="M10" i="3"/>
  <c r="H10" i="3"/>
  <c r="W9" i="3"/>
  <c r="R9" i="3"/>
  <c r="M9" i="3"/>
  <c r="H9" i="3"/>
  <c r="W40" i="1"/>
  <c r="R40" i="1"/>
  <c r="M40" i="1"/>
  <c r="H40" i="1"/>
  <c r="W39" i="1"/>
  <c r="R39" i="1"/>
  <c r="M39" i="1"/>
  <c r="H39" i="1"/>
  <c r="W38" i="1"/>
  <c r="R38" i="1"/>
  <c r="M38" i="1"/>
  <c r="H38" i="1"/>
  <c r="W37" i="1"/>
  <c r="R37" i="1"/>
  <c r="M37" i="1"/>
  <c r="W34" i="1"/>
  <c r="R34" i="1"/>
  <c r="M34" i="1"/>
  <c r="H34" i="1"/>
  <c r="W33" i="1"/>
  <c r="R33" i="1"/>
  <c r="M33" i="1"/>
  <c r="W32" i="1"/>
  <c r="R32" i="1"/>
  <c r="M32" i="1"/>
  <c r="W31" i="1"/>
  <c r="R31" i="1"/>
  <c r="M31" i="1"/>
  <c r="H31" i="1"/>
  <c r="W30" i="1"/>
  <c r="R30" i="1"/>
  <c r="M30" i="1"/>
  <c r="H30" i="1"/>
  <c r="R29" i="1"/>
  <c r="M41" i="1" l="1"/>
  <c r="M44" i="3" s="1"/>
  <c r="M44" i="4" s="1"/>
  <c r="M44" i="5" s="1"/>
  <c r="M43" i="6" s="1"/>
  <c r="M45" i="7" s="1"/>
  <c r="M44" i="8" s="1"/>
  <c r="M44" i="9" s="1"/>
  <c r="M44" i="10" s="1"/>
  <c r="M43" i="11" s="1"/>
  <c r="M45" i="12" s="1"/>
  <c r="R41" i="1"/>
  <c r="R44" i="3" s="1"/>
  <c r="R44" i="4" s="1"/>
  <c r="R44" i="5" s="1"/>
  <c r="R43" i="6" s="1"/>
  <c r="R45" i="7" s="1"/>
  <c r="R44" i="8" s="1"/>
  <c r="R44" i="9" s="1"/>
  <c r="R44" i="10" s="1"/>
  <c r="R43" i="11" s="1"/>
  <c r="R45" i="12" s="1"/>
  <c r="W41" i="1"/>
  <c r="W44" i="3" s="1"/>
  <c r="W44" i="4" s="1"/>
  <c r="W44" i="5" s="1"/>
  <c r="W43" i="6" s="1"/>
  <c r="W45" i="7" s="1"/>
  <c r="W44" i="8" s="1"/>
  <c r="W44" i="9" s="1"/>
  <c r="W44" i="10" s="1"/>
  <c r="W43" i="11" s="1"/>
  <c r="W45" i="12" s="1"/>
  <c r="H41" i="1"/>
  <c r="H44" i="3" s="1"/>
  <c r="H44" i="4" s="1"/>
  <c r="H44" i="5" s="1"/>
  <c r="H43" i="6" s="1"/>
  <c r="H45" i="7" s="1"/>
  <c r="H44" i="8" s="1"/>
  <c r="H44" i="9" s="1"/>
  <c r="H44" i="10" s="1"/>
  <c r="H43" i="11" s="1"/>
  <c r="H45" i="12" s="1"/>
</calcChain>
</file>

<file path=xl/sharedStrings.xml><?xml version="1.0" encoding="utf-8"?>
<sst xmlns="http://schemas.openxmlformats.org/spreadsheetml/2006/main" count="1265" uniqueCount="432">
  <si>
    <t>Attendance Record-CDC transport</t>
  </si>
  <si>
    <t>W6-Mon</t>
  </si>
  <si>
    <t>W14-Fri</t>
  </si>
  <si>
    <t>W19-Sun</t>
  </si>
  <si>
    <t>W23-Wed</t>
  </si>
  <si>
    <t>W27-Fri</t>
  </si>
  <si>
    <t>W32-Mon</t>
  </si>
  <si>
    <t>W36-Thu</t>
  </si>
  <si>
    <t>W40-Sat</t>
  </si>
  <si>
    <t>W45-Tue</t>
  </si>
  <si>
    <t>W49-Thu</t>
  </si>
  <si>
    <t>W5-Wed</t>
  </si>
  <si>
    <t>W13-Sat</t>
  </si>
  <si>
    <t>W18-Mon</t>
  </si>
  <si>
    <t>W22-Thu</t>
  </si>
  <si>
    <t>W26-Sat</t>
  </si>
  <si>
    <t>W31-Tue</t>
  </si>
  <si>
    <t>W35-Fri</t>
  </si>
  <si>
    <t>W40-Sun</t>
  </si>
  <si>
    <t>W48-Fri</t>
  </si>
  <si>
    <t>W5-Thu</t>
  </si>
  <si>
    <t>W14-Sun</t>
  </si>
  <si>
    <t>W18-Tue</t>
  </si>
  <si>
    <t>W22-Fri</t>
  </si>
  <si>
    <t>W27-Sun</t>
  </si>
  <si>
    <t>W5-Sun</t>
  </si>
  <si>
    <t>W5-Fri</t>
  </si>
  <si>
    <t>W5-Sat</t>
  </si>
  <si>
    <t>W6-Sun</t>
  </si>
  <si>
    <t>W6-Tue</t>
  </si>
  <si>
    <t>W6-Wed</t>
  </si>
  <si>
    <t>W6-Thu</t>
  </si>
  <si>
    <t>W6-Fri</t>
  </si>
  <si>
    <t>W6-Sat</t>
  </si>
  <si>
    <t>W7-Sun</t>
  </si>
  <si>
    <t>W7-Mon</t>
  </si>
  <si>
    <t>W7-Tue</t>
  </si>
  <si>
    <t>W7-Wed</t>
  </si>
  <si>
    <t>W7-Thu</t>
  </si>
  <si>
    <t>W7-Fri</t>
  </si>
  <si>
    <t>W7-Sat</t>
  </si>
  <si>
    <t>W8-Sun</t>
  </si>
  <si>
    <t>W8-Mon</t>
  </si>
  <si>
    <t>W8-Tue</t>
  </si>
  <si>
    <t>W8-Wed</t>
  </si>
  <si>
    <t>W8-Thu</t>
  </si>
  <si>
    <t>W8-Fri</t>
  </si>
  <si>
    <t>W8-Sat</t>
  </si>
  <si>
    <t>W9-Mon</t>
  </si>
  <si>
    <t>W9-Tue</t>
  </si>
  <si>
    <t>W13-Sun</t>
  </si>
  <si>
    <t>W14-Mon</t>
  </si>
  <si>
    <t>W14-Tue</t>
  </si>
  <si>
    <t>W14-Wed</t>
  </si>
  <si>
    <t>W14-Thu</t>
  </si>
  <si>
    <t>W14-Sat</t>
  </si>
  <si>
    <t>W15-Sun</t>
  </si>
  <si>
    <t>W15-Mon</t>
  </si>
  <si>
    <t>W15-Tue</t>
  </si>
  <si>
    <t>W15-Wed</t>
  </si>
  <si>
    <t>W15-Thu</t>
  </si>
  <si>
    <t>W15-Fri</t>
  </si>
  <si>
    <t>W15-Sat</t>
  </si>
  <si>
    <t>W16-Sun</t>
  </si>
  <si>
    <t>W16-Mon</t>
  </si>
  <si>
    <t>W16-Tue</t>
  </si>
  <si>
    <t>W16-Wed</t>
  </si>
  <si>
    <t>W16-Thu</t>
  </si>
  <si>
    <t>W16-Fri</t>
  </si>
  <si>
    <t>W16-Sat</t>
  </si>
  <si>
    <t>W17-Sun</t>
  </si>
  <si>
    <t>W17-Mon</t>
  </si>
  <si>
    <t>W17-Tue</t>
  </si>
  <si>
    <t>W17-Wed</t>
  </si>
  <si>
    <t>W17-Thu</t>
  </si>
  <si>
    <t>W17-Fri</t>
  </si>
  <si>
    <t>W17-Sat</t>
  </si>
  <si>
    <t>W18-Sun</t>
  </si>
  <si>
    <t>W18-Wed</t>
  </si>
  <si>
    <t>W18-Thu</t>
  </si>
  <si>
    <t>W18-Fri</t>
  </si>
  <si>
    <t>W18-Sat</t>
  </si>
  <si>
    <t>W19-Mon</t>
  </si>
  <si>
    <t>W19-Tue</t>
  </si>
  <si>
    <t>W19-Wed</t>
  </si>
  <si>
    <t>W19-Thu</t>
  </si>
  <si>
    <t>W19-Fri</t>
  </si>
  <si>
    <t>W19-Sat</t>
  </si>
  <si>
    <t>W20-Sun</t>
  </si>
  <si>
    <t>W20-Mon</t>
  </si>
  <si>
    <t>W20-Tue</t>
  </si>
  <si>
    <t>W20-Wed</t>
  </si>
  <si>
    <t>W20-Thu</t>
  </si>
  <si>
    <t>W20-Fri</t>
  </si>
  <si>
    <t>W20-Sat</t>
  </si>
  <si>
    <t>W21-Sun</t>
  </si>
  <si>
    <t>W21-Mon</t>
  </si>
  <si>
    <t>W21-Tue</t>
  </si>
  <si>
    <t>W21-Wed</t>
  </si>
  <si>
    <t>W21-Thu</t>
  </si>
  <si>
    <t>W21-Fri</t>
  </si>
  <si>
    <t>W21-Sat</t>
  </si>
  <si>
    <t>W22-Sun</t>
  </si>
  <si>
    <t>W22-Mon</t>
  </si>
  <si>
    <t>W22-Tue</t>
  </si>
  <si>
    <t>W22-Wed</t>
  </si>
  <si>
    <t>W22-Sat</t>
  </si>
  <si>
    <t>W23-Sun</t>
  </si>
  <si>
    <t>W23-Mon</t>
  </si>
  <si>
    <t>W23-Tue</t>
  </si>
  <si>
    <t>W23-Thu</t>
  </si>
  <si>
    <t>W23-Fri</t>
  </si>
  <si>
    <t>W23-Sat</t>
  </si>
  <si>
    <t>W24-Sun</t>
  </si>
  <si>
    <t>W24-Mon</t>
  </si>
  <si>
    <t>W24-Tue</t>
  </si>
  <si>
    <t>W24-Wed</t>
  </si>
  <si>
    <t>W24-Thu</t>
  </si>
  <si>
    <t>W24-Fri</t>
  </si>
  <si>
    <t>W24-Sat</t>
  </si>
  <si>
    <t>W25-Sun</t>
  </si>
  <si>
    <t>W25-Mon</t>
  </si>
  <si>
    <t>W25-Tue</t>
  </si>
  <si>
    <t>W25-Wed</t>
  </si>
  <si>
    <t>W25-Thu</t>
  </si>
  <si>
    <t>W25-Fri</t>
  </si>
  <si>
    <t>W25-Sat</t>
  </si>
  <si>
    <t>W26-Sun</t>
  </si>
  <si>
    <t>W26-Mon</t>
  </si>
  <si>
    <t>W26-Tue</t>
  </si>
  <si>
    <t>W26-Wed</t>
  </si>
  <si>
    <t>W26-Thu</t>
  </si>
  <si>
    <t>W26-Fri</t>
  </si>
  <si>
    <t>W27-Mon</t>
  </si>
  <si>
    <t>W27-Tue</t>
  </si>
  <si>
    <t>W27-Wed</t>
  </si>
  <si>
    <t>W27-Thu</t>
  </si>
  <si>
    <t>W27-Sat</t>
  </si>
  <si>
    <t>W28-Sun</t>
  </si>
  <si>
    <t>W28-Mon</t>
  </si>
  <si>
    <t>W28-Tue</t>
  </si>
  <si>
    <t>W28-Wed</t>
  </si>
  <si>
    <t>W28-Thu</t>
  </si>
  <si>
    <t>W28-Fri</t>
  </si>
  <si>
    <t>W28-Sat</t>
  </si>
  <si>
    <t>W29-Sun</t>
  </si>
  <si>
    <t>W29-Mon</t>
  </si>
  <si>
    <t>W29-Tue</t>
  </si>
  <si>
    <t>W29-Wed</t>
  </si>
  <si>
    <t>W29-Thu</t>
  </si>
  <si>
    <t>W29-Fri</t>
  </si>
  <si>
    <t>W29-Sat</t>
  </si>
  <si>
    <t>W30-Sun</t>
  </si>
  <si>
    <t>W30-Mon</t>
  </si>
  <si>
    <t>W30-Tue</t>
  </si>
  <si>
    <t>W30-Wed</t>
  </si>
  <si>
    <t>W30-Thu</t>
  </si>
  <si>
    <t>W30-Fri</t>
  </si>
  <si>
    <t>W30-Sat</t>
  </si>
  <si>
    <t>W31-Sun</t>
  </si>
  <si>
    <t>W31-Mon</t>
  </si>
  <si>
    <t>W31-Wed</t>
  </si>
  <si>
    <t>W31-Thu</t>
  </si>
  <si>
    <t>W31-Fri</t>
  </si>
  <si>
    <t>W31-Sat</t>
  </si>
  <si>
    <t>W32-Sun</t>
  </si>
  <si>
    <t>W32-Tue</t>
  </si>
  <si>
    <t>W32-Wed</t>
  </si>
  <si>
    <t>W32-Thu</t>
  </si>
  <si>
    <t>W32-Fri</t>
  </si>
  <si>
    <t>W32-Sat</t>
  </si>
  <si>
    <t>W33-Sun</t>
  </si>
  <si>
    <t>W33-Mon</t>
  </si>
  <si>
    <t>W33-Tue</t>
  </si>
  <si>
    <t>W33-Wed</t>
  </si>
  <si>
    <t>W33-Thu</t>
  </si>
  <si>
    <t>W33-Fri</t>
  </si>
  <si>
    <t>W33-Sat</t>
  </si>
  <si>
    <t>W34-Sun</t>
  </si>
  <si>
    <t>W34-Mon</t>
  </si>
  <si>
    <t>W34-Tue</t>
  </si>
  <si>
    <t>W34-Wed</t>
  </si>
  <si>
    <t>W34-Thu</t>
  </si>
  <si>
    <t>W34-Fri</t>
  </si>
  <si>
    <t>W34-Sat</t>
  </si>
  <si>
    <t>W35-Sun</t>
  </si>
  <si>
    <t>W35-Mon</t>
  </si>
  <si>
    <t>W35-Tue</t>
  </si>
  <si>
    <t>W35-Wed</t>
  </si>
  <si>
    <t>W35-Thu</t>
  </si>
  <si>
    <t>W35-Sat</t>
  </si>
  <si>
    <t>W36-Sun</t>
  </si>
  <si>
    <t>W36-Mon</t>
  </si>
  <si>
    <t>W36-Tue</t>
  </si>
  <si>
    <t>W36-Wed</t>
  </si>
  <si>
    <t>W36-Fri</t>
  </si>
  <si>
    <t>W36-Sat</t>
  </si>
  <si>
    <t>W37-Sun</t>
  </si>
  <si>
    <t>W37-Mon</t>
  </si>
  <si>
    <t>W37-Tue</t>
  </si>
  <si>
    <t>W37-Wed</t>
  </si>
  <si>
    <t>W37-Thu</t>
  </si>
  <si>
    <t>W37-Fri</t>
  </si>
  <si>
    <t>W37-Sat</t>
  </si>
  <si>
    <t>W38-Sun</t>
  </si>
  <si>
    <t>W38-Mon</t>
  </si>
  <si>
    <t>W38-Tue</t>
  </si>
  <si>
    <t>W38-Wed</t>
  </si>
  <si>
    <t>W38-Thu</t>
  </si>
  <si>
    <t>W38-Fri</t>
  </si>
  <si>
    <t>W38-Sat</t>
  </si>
  <si>
    <t>W39-Sun</t>
  </si>
  <si>
    <t>W39-Mon</t>
  </si>
  <si>
    <t>W39-Tue</t>
  </si>
  <si>
    <t>W39-Wed</t>
  </si>
  <si>
    <t>W39-Thu</t>
  </si>
  <si>
    <t>W39-Fri</t>
  </si>
  <si>
    <t>W39-Sat</t>
  </si>
  <si>
    <t>W40-Mon</t>
  </si>
  <si>
    <t>W40-Tue</t>
  </si>
  <si>
    <t>W40-Wed</t>
  </si>
  <si>
    <t>W40-Thu</t>
  </si>
  <si>
    <t>W40-Fri</t>
  </si>
  <si>
    <t>W41-Sun</t>
  </si>
  <si>
    <t>W41-Mon</t>
  </si>
  <si>
    <t>W41-Tue</t>
  </si>
  <si>
    <t>W41-Wed</t>
  </si>
  <si>
    <t>W41-Thu</t>
  </si>
  <si>
    <t>W41-Fri</t>
  </si>
  <si>
    <t>W41-Sat</t>
  </si>
  <si>
    <t>W42-Sun</t>
  </si>
  <si>
    <t>W42-Mon</t>
  </si>
  <si>
    <t>W42-Tue</t>
  </si>
  <si>
    <t>W42-Wed</t>
  </si>
  <si>
    <t>W42-Thu</t>
  </si>
  <si>
    <t>W42-Fri</t>
  </si>
  <si>
    <t>W42-Sat</t>
  </si>
  <si>
    <t>W43-Sun</t>
  </si>
  <si>
    <t>W43-Mon</t>
  </si>
  <si>
    <t>W43-Tue</t>
  </si>
  <si>
    <t>W43-Wed</t>
  </si>
  <si>
    <t>W43-Thu</t>
  </si>
  <si>
    <t>W43-Fri</t>
  </si>
  <si>
    <t>W43-Sat</t>
  </si>
  <si>
    <t>W44-Mon</t>
  </si>
  <si>
    <t>W44-Tue</t>
  </si>
  <si>
    <t>W45-Sun</t>
  </si>
  <si>
    <t>W45-Mon</t>
  </si>
  <si>
    <t>W45-Wed</t>
  </si>
  <si>
    <t>W45-Thu</t>
  </si>
  <si>
    <t>W45-Fri</t>
  </si>
  <si>
    <t>W45-Sat</t>
  </si>
  <si>
    <t>W46-Sun</t>
  </si>
  <si>
    <t>W46-Mon</t>
  </si>
  <si>
    <t>W46-Tue</t>
  </si>
  <si>
    <t>W46-Wed</t>
  </si>
  <si>
    <t>W46-Thu</t>
  </si>
  <si>
    <t>W46-Fri</t>
  </si>
  <si>
    <t>W46-Sat</t>
  </si>
  <si>
    <t>W47-Sun</t>
  </si>
  <si>
    <t>W47-Mon</t>
  </si>
  <si>
    <t>W47-Tue</t>
  </si>
  <si>
    <t>W47-Wed</t>
  </si>
  <si>
    <t>W47-Thu</t>
  </si>
  <si>
    <t>W47-Fri</t>
  </si>
  <si>
    <t>W47-Sat</t>
  </si>
  <si>
    <t>W48-Sun</t>
  </si>
  <si>
    <t>W48-Mon</t>
  </si>
  <si>
    <t>W48-Tue</t>
  </si>
  <si>
    <t>W48-Wed</t>
  </si>
  <si>
    <t>W48-Thu</t>
  </si>
  <si>
    <t>W48-Sat</t>
  </si>
  <si>
    <t>W49-Sun</t>
  </si>
  <si>
    <t>W49-Mon</t>
  </si>
  <si>
    <t>W49-Tue</t>
  </si>
  <si>
    <t>W49-Wed</t>
  </si>
  <si>
    <t>W49-Fri</t>
  </si>
  <si>
    <t>W49-Sat</t>
  </si>
  <si>
    <t>W50-Sun</t>
  </si>
  <si>
    <t>W50-Mon</t>
  </si>
  <si>
    <t>W50-Tue</t>
  </si>
  <si>
    <t>W50-Wed</t>
  </si>
  <si>
    <t>W50-Thu</t>
  </si>
  <si>
    <t>W50-Fri</t>
  </si>
  <si>
    <t>W50-Sat</t>
  </si>
  <si>
    <t>W51-Sun</t>
  </si>
  <si>
    <t>W51-Mon</t>
  </si>
  <si>
    <t>W51-Tue</t>
  </si>
  <si>
    <t>W51-Wed</t>
  </si>
  <si>
    <t>W51-Thu</t>
  </si>
  <si>
    <t>W51-Fri</t>
  </si>
  <si>
    <t>W51-Sat</t>
  </si>
  <si>
    <t>W52-Mon</t>
  </si>
  <si>
    <t>W52-Tue</t>
  </si>
  <si>
    <t>W52-Wed</t>
  </si>
  <si>
    <t>W52-Thu</t>
  </si>
  <si>
    <t>W52-Fri</t>
  </si>
  <si>
    <t>W52-Sat</t>
  </si>
  <si>
    <t>Date</t>
  </si>
  <si>
    <t>Week</t>
  </si>
  <si>
    <t>Ian</t>
  </si>
  <si>
    <t>Fay</t>
  </si>
  <si>
    <t>Brian</t>
  </si>
  <si>
    <t>Comments</t>
  </si>
  <si>
    <t>Shift</t>
  </si>
  <si>
    <t>From</t>
  </si>
  <si>
    <t>To</t>
  </si>
  <si>
    <t>Hours</t>
  </si>
  <si>
    <t>OT</t>
  </si>
  <si>
    <t>Total hours</t>
  </si>
  <si>
    <t>W52-Sun</t>
  </si>
  <si>
    <t>W9-Wed</t>
  </si>
  <si>
    <t>W9-Thu</t>
  </si>
  <si>
    <t>W9-Fri</t>
  </si>
  <si>
    <t>W9-Sat</t>
  </si>
  <si>
    <t>W9-Sun</t>
  </si>
  <si>
    <t>W10-Mon</t>
  </si>
  <si>
    <t>W10-Tue</t>
  </si>
  <si>
    <t>W10-Wed</t>
  </si>
  <si>
    <t>W10-Thu</t>
  </si>
  <si>
    <t>W10-Fri</t>
  </si>
  <si>
    <t>W10-Sat</t>
  </si>
  <si>
    <t>W10-Sun</t>
  </si>
  <si>
    <t>W11-Mon</t>
  </si>
  <si>
    <t>W11-Tue</t>
  </si>
  <si>
    <t>W11-Wed</t>
  </si>
  <si>
    <t>W11-Thu</t>
  </si>
  <si>
    <t>W11-Fri</t>
  </si>
  <si>
    <t>W11-Sat</t>
  </si>
  <si>
    <t>W11-Sun</t>
  </si>
  <si>
    <t>W12-Mon</t>
  </si>
  <si>
    <t>W12-Tue</t>
  </si>
  <si>
    <t>W12-Wed</t>
  </si>
  <si>
    <t>W12-Thu</t>
  </si>
  <si>
    <t>W12-Fri</t>
  </si>
  <si>
    <t>W12-Sat</t>
  </si>
  <si>
    <t>W12-Sun</t>
  </si>
  <si>
    <t>W13-Mon</t>
  </si>
  <si>
    <t>W13-Tue</t>
  </si>
  <si>
    <t>W13-Wed</t>
  </si>
  <si>
    <t>W13-Thu</t>
  </si>
  <si>
    <t>W13-Fri</t>
  </si>
  <si>
    <t>W44-Wed</t>
  </si>
  <si>
    <t>W44-Thu</t>
  </si>
  <si>
    <t>W44-Fri</t>
  </si>
  <si>
    <t>W44-Sat</t>
  </si>
  <si>
    <t>W44-Sun</t>
  </si>
  <si>
    <t>W1-Mon</t>
  </si>
  <si>
    <t>W1-Tue</t>
  </si>
  <si>
    <t>W1-Wed</t>
  </si>
  <si>
    <t>W1-Thu</t>
  </si>
  <si>
    <t>W1-Fri</t>
  </si>
  <si>
    <t>W1-Sat</t>
  </si>
  <si>
    <t>W1-Sun</t>
  </si>
  <si>
    <t>W2-Mon</t>
  </si>
  <si>
    <t>W2-Tue</t>
  </si>
  <si>
    <t>W2-Wed</t>
  </si>
  <si>
    <t>W2-Thu</t>
  </si>
  <si>
    <t>W2-Fri</t>
  </si>
  <si>
    <t>W2-Sat</t>
  </si>
  <si>
    <t>W2-Sun</t>
  </si>
  <si>
    <t>W3-Mon</t>
  </si>
  <si>
    <t>W3-Tue</t>
  </si>
  <si>
    <t>W3-Wed</t>
  </si>
  <si>
    <t>W3-Thu</t>
  </si>
  <si>
    <t>W3-Fri</t>
  </si>
  <si>
    <t>W3-Sat</t>
  </si>
  <si>
    <t>W3-Sun</t>
  </si>
  <si>
    <t>W4-Mon</t>
  </si>
  <si>
    <t>W4-Tue</t>
  </si>
  <si>
    <t>W4-Wed</t>
  </si>
  <si>
    <t>W4-Thu</t>
  </si>
  <si>
    <t>W4-Fri</t>
  </si>
  <si>
    <t>W4-Sat</t>
  </si>
  <si>
    <t>W4-Sun</t>
  </si>
  <si>
    <t>W5-Mon</t>
  </si>
  <si>
    <t>W5-Tue</t>
  </si>
  <si>
    <t>Jamie</t>
    <phoneticPr fontId="1" type="noConversion"/>
  </si>
  <si>
    <t>GENERAL TOTAL OT</t>
    <phoneticPr fontId="1" type="noConversion"/>
  </si>
  <si>
    <t xml:space="preserve">Note: </t>
  </si>
  <si>
    <t>1.</t>
  </si>
  <si>
    <t>How we put working shift?</t>
  </si>
  <si>
    <t>D- Day Shift</t>
  </si>
  <si>
    <t>6:00-15:00</t>
  </si>
  <si>
    <t>M-Middle Shift</t>
  </si>
  <si>
    <t>10:30-19:30</t>
  </si>
  <si>
    <t xml:space="preserve">N-Night Shift </t>
  </si>
  <si>
    <t>15:00-24:00</t>
  </si>
  <si>
    <t xml:space="preserve">D1, D2, D4, D5 are three shifts with weekly rotation.   D3 (1 shift only) 
</t>
  </si>
  <si>
    <t>2.</t>
  </si>
  <si>
    <t>How we put leave?</t>
  </si>
  <si>
    <t>L_category of leaves_Duration of leave</t>
  </si>
  <si>
    <t xml:space="preserve">
Category of leaves （L）</t>
  </si>
  <si>
    <t>Annual Leave(ANN)</t>
  </si>
  <si>
    <t>Maternity Leave(MAT)</t>
  </si>
  <si>
    <t>OT Compensated Leave(CL)</t>
  </si>
  <si>
    <t>Medical Leave(MED)</t>
  </si>
  <si>
    <t>Marriage Leave(MAR)</t>
  </si>
  <si>
    <t>3.</t>
  </si>
  <si>
    <t>Others</t>
  </si>
  <si>
    <t>H -Public holiday &amp; weekend( the cell with gray shading)</t>
  </si>
  <si>
    <t>General Total OT</t>
  </si>
  <si>
    <t>LAST YEAR</t>
  </si>
  <si>
    <t>H</t>
  </si>
  <si>
    <t>D</t>
  </si>
  <si>
    <t>ANN</t>
  </si>
  <si>
    <t>N</t>
  </si>
  <si>
    <t>13：00</t>
  </si>
  <si>
    <t>20：00</t>
  </si>
  <si>
    <t>CL</t>
  </si>
  <si>
    <t>09：00</t>
  </si>
  <si>
    <t>15：30</t>
  </si>
  <si>
    <t>15：00</t>
  </si>
  <si>
    <t>00：00</t>
  </si>
  <si>
    <t>21：00</t>
  </si>
  <si>
    <t>08：00</t>
  </si>
  <si>
    <t>17：30</t>
  </si>
  <si>
    <t>18：00</t>
  </si>
  <si>
    <t>09：30</t>
  </si>
  <si>
    <t>18：30</t>
  </si>
  <si>
    <t>08：30</t>
  </si>
  <si>
    <t>17：00</t>
  </si>
  <si>
    <t>02：00+1</t>
  </si>
  <si>
    <t>19：00</t>
  </si>
  <si>
    <t>19：30</t>
  </si>
  <si>
    <t>06：00</t>
  </si>
  <si>
    <t>OT: From 22:00 to 24:00</t>
  </si>
  <si>
    <t>11：00</t>
  </si>
  <si>
    <t>24：00</t>
  </si>
  <si>
    <t>22：30</t>
  </si>
  <si>
    <t>22：00</t>
  </si>
  <si>
    <t>16：00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</si>
</sst>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 Light"/>
      <family val="2"/>
    </font>
    <font>
      <b/>
      <sz val="18"/>
      <color theme="1"/>
      <name val="Calibri Light"/>
      <family val="2"/>
    </font>
    <font>
      <b/>
      <sz val="11"/>
      <color theme="1"/>
      <name val="Calibri Light"/>
      <family val="2"/>
    </font>
    <font>
      <b/>
      <i/>
      <u/>
      <sz val="11"/>
      <color theme="1"/>
      <name val="Calibri Light"/>
      <family val="2"/>
    </font>
    <font>
      <sz val="11"/>
      <color rgb="FFFF0000"/>
      <name val="Calibri Light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16" fontId="2" fillId="0" borderId="9" xfId="0" applyNumberFormat="1" applyFont="1" applyFill="1" applyBorder="1"/>
    <xf numFmtId="20" fontId="2" fillId="0" borderId="8" xfId="0" applyNumberFormat="1" applyFont="1" applyFill="1" applyBorder="1"/>
    <xf numFmtId="20" fontId="2" fillId="0" borderId="9" xfId="0" applyNumberFormat="1" applyFont="1" applyFill="1" applyBorder="1" applyAlignment="1">
      <alignment horizontal="left"/>
    </xf>
    <xf numFmtId="0" fontId="2" fillId="0" borderId="9" xfId="0" applyFont="1" applyFill="1" applyBorder="1"/>
    <xf numFmtId="0" fontId="2" fillId="0" borderId="10" xfId="0" applyFont="1" applyFill="1" applyBorder="1"/>
    <xf numFmtId="0" fontId="2" fillId="0" borderId="8" xfId="0" applyFont="1" applyFill="1" applyBorder="1"/>
    <xf numFmtId="0" fontId="2" fillId="5" borderId="16" xfId="0" applyFont="1" applyFill="1" applyBorder="1"/>
    <xf numFmtId="16" fontId="2" fillId="3" borderId="9" xfId="0" applyNumberFormat="1" applyFont="1" applyFill="1" applyBorder="1"/>
    <xf numFmtId="0" fontId="2" fillId="3" borderId="8" xfId="0" applyFont="1" applyFill="1" applyBorder="1"/>
    <xf numFmtId="20" fontId="2" fillId="3" borderId="9" xfId="0" applyNumberFormat="1" applyFont="1" applyFill="1" applyBorder="1" applyAlignment="1">
      <alignment horizontal="left"/>
    </xf>
    <xf numFmtId="0" fontId="2" fillId="3" borderId="9" xfId="0" applyFont="1" applyFill="1" applyBorder="1"/>
    <xf numFmtId="0" fontId="2" fillId="3" borderId="10" xfId="0" applyFont="1" applyFill="1" applyBorder="1"/>
    <xf numFmtId="0" fontId="2" fillId="3" borderId="16" xfId="0" applyFont="1" applyFill="1" applyBorder="1"/>
    <xf numFmtId="0" fontId="2" fillId="4" borderId="8" xfId="0" applyFont="1" applyFill="1" applyBorder="1"/>
    <xf numFmtId="20" fontId="2" fillId="4" borderId="9" xfId="0" applyNumberFormat="1" applyFont="1" applyFill="1" applyBorder="1" applyAlignment="1">
      <alignment horizontal="left"/>
    </xf>
    <xf numFmtId="0" fontId="2" fillId="4" borderId="9" xfId="0" applyFont="1" applyFill="1" applyBorder="1"/>
    <xf numFmtId="0" fontId="6" fillId="4" borderId="10" xfId="0" applyFont="1" applyFill="1" applyBorder="1"/>
    <xf numFmtId="0" fontId="2" fillId="4" borderId="16" xfId="0" applyFont="1" applyFill="1" applyBorder="1"/>
    <xf numFmtId="0" fontId="2" fillId="0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7" fillId="0" borderId="3" xfId="0" applyFont="1" applyBorder="1"/>
    <xf numFmtId="0" fontId="8" fillId="0" borderId="17" xfId="0" applyFont="1" applyBorder="1"/>
    <xf numFmtId="0" fontId="8" fillId="0" borderId="17" xfId="0" applyFont="1" applyBorder="1" applyAlignment="1">
      <alignment horizontal="left"/>
    </xf>
    <xf numFmtId="0" fontId="8" fillId="0" borderId="17" xfId="0" applyFont="1" applyBorder="1" applyAlignment="1">
      <alignment horizontal="right"/>
    </xf>
    <xf numFmtId="0" fontId="8" fillId="0" borderId="11" xfId="0" applyFont="1" applyBorder="1"/>
    <xf numFmtId="0" fontId="8" fillId="0" borderId="18" xfId="0" quotePrefix="1" applyFont="1" applyBorder="1" applyAlignment="1">
      <alignment horizontal="right"/>
    </xf>
    <xf numFmtId="0" fontId="7" fillId="0" borderId="0" xfId="0" applyFont="1" applyBorder="1"/>
    <xf numFmtId="0" fontId="8" fillId="0" borderId="0" xfId="0" applyFont="1" applyBorder="1"/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right"/>
    </xf>
    <xf numFmtId="0" fontId="8" fillId="0" borderId="19" xfId="0" applyFont="1" applyBorder="1"/>
    <xf numFmtId="0" fontId="8" fillId="0" borderId="18" xfId="0" applyFont="1" applyBorder="1"/>
    <xf numFmtId="0" fontId="8" fillId="0" borderId="0" xfId="0" applyFont="1"/>
    <xf numFmtId="0" fontId="8" fillId="0" borderId="4" xfId="0" quotePrefix="1" applyFont="1" applyBorder="1" applyAlignment="1">
      <alignment horizontal="right"/>
    </xf>
    <xf numFmtId="0" fontId="8" fillId="0" borderId="20" xfId="0" applyFont="1" applyBorder="1"/>
    <xf numFmtId="0" fontId="8" fillId="0" borderId="20" xfId="0" applyFont="1" applyBorder="1" applyAlignment="1">
      <alignment horizontal="left"/>
    </xf>
    <xf numFmtId="0" fontId="8" fillId="0" borderId="20" xfId="0" applyFont="1" applyBorder="1" applyAlignment="1">
      <alignment horizontal="right"/>
    </xf>
    <xf numFmtId="0" fontId="8" fillId="0" borderId="0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 wrapText="1"/>
    </xf>
    <xf numFmtId="0" fontId="8" fillId="0" borderId="0" xfId="0" applyFont="1" applyBorder="1" applyAlignment="1">
      <alignment wrapText="1"/>
    </xf>
    <xf numFmtId="0" fontId="9" fillId="0" borderId="0" xfId="0" applyFont="1" applyBorder="1"/>
    <xf numFmtId="0" fontId="7" fillId="0" borderId="0" xfId="0" applyFont="1" applyBorder="1" applyAlignment="1"/>
    <xf numFmtId="0" fontId="8" fillId="0" borderId="12" xfId="0" applyFont="1" applyBorder="1"/>
    <xf numFmtId="0" fontId="4" fillId="0" borderId="17" xfId="0" applyFont="1" applyBorder="1" applyAlignment="1">
      <alignment horizontal="center"/>
    </xf>
    <xf numFmtId="16" fontId="4" fillId="4" borderId="13" xfId="0" applyNumberFormat="1" applyFont="1" applyFill="1" applyBorder="1" applyAlignment="1">
      <alignment horizontal="center"/>
    </xf>
    <xf numFmtId="16" fontId="4" fillId="4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top"/>
    </xf>
    <xf numFmtId="0" fontId="3" fillId="0" borderId="22" xfId="0" applyFont="1" applyFill="1" applyBorder="1" applyAlignment="1">
      <alignment horizontal="center" vertical="top"/>
    </xf>
    <xf numFmtId="0" fontId="3" fillId="0" borderId="23" xfId="0" applyFont="1" applyFill="1" applyBorder="1" applyAlignment="1">
      <alignment horizontal="center" vertical="top"/>
    </xf>
    <xf numFmtId="16" fontId="4" fillId="2" borderId="1" xfId="0" applyNumberFormat="1" applyFont="1" applyFill="1" applyBorder="1" applyAlignment="1">
      <alignment horizontal="center" vertical="center"/>
    </xf>
    <xf numFmtId="16" fontId="4" fillId="2" borderId="2" xfId="0" applyNumberFormat="1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18</xdr:row>
          <xdr:rowOff>85725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HQ%20TMP%20CDC\CDC%20transport\Attendence%20record_CDC%20transport_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8.1"/>
      <sheetName val="2018.2"/>
      <sheetName val="2018.3"/>
      <sheetName val="2018.4"/>
      <sheetName val="2018.5"/>
      <sheetName val="2018.6"/>
      <sheetName val="2018.7"/>
      <sheetName val="2018.8"/>
      <sheetName val="2018.9"/>
      <sheetName val="2018.10"/>
      <sheetName val="2018.11"/>
      <sheetName val="2018.12"/>
      <sheetName val="Config"/>
    </sheetNames>
    <sheetDataSet>
      <sheetData sheetId="0">
        <row r="41">
          <cell r="H41">
            <v>1.5</v>
          </cell>
          <cell r="M41">
            <v>1</v>
          </cell>
          <cell r="R41" t="str">
            <v/>
          </cell>
          <cell r="W41">
            <v>0.5</v>
          </cell>
        </row>
        <row r="42">
          <cell r="H42" t="str">
            <v/>
          </cell>
          <cell r="M42">
            <v>1.5</v>
          </cell>
          <cell r="R42" t="str">
            <v/>
          </cell>
          <cell r="W42">
            <v>1</v>
          </cell>
        </row>
        <row r="43">
          <cell r="H43" t="str">
            <v/>
          </cell>
          <cell r="M43">
            <v>0</v>
          </cell>
          <cell r="R43" t="str">
            <v/>
          </cell>
          <cell r="W43">
            <v>1.5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X55"/>
  <sheetViews>
    <sheetView topLeftCell="A19" zoomScale="85" zoomScaleNormal="85" workbookViewId="0">
      <selection activeCell="D9" sqref="D9:X43"/>
    </sheetView>
  </sheetViews>
  <sheetFormatPr defaultRowHeight="15"/>
  <cols>
    <col min="2" max="2" width="9.7109375" bestFit="1" customWidth="1"/>
    <col min="24" max="24" width="19.85546875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43101</v>
      </c>
      <c r="C9" s="23" t="s">
        <v>347</v>
      </c>
      <c r="D9" s="6" t="s">
        <v>403</v>
      </c>
      <c r="E9" s="7"/>
      <c r="F9" s="7"/>
      <c r="G9" s="8"/>
      <c r="H9" s="9" t="str">
        <f>IF(G9="","",G9-8)</f>
        <v/>
      </c>
      <c r="I9" s="10" t="s">
        <v>308</v>
      </c>
      <c r="J9" s="7"/>
      <c r="K9" s="7"/>
      <c r="L9" s="8"/>
      <c r="M9" s="9" t="str">
        <f>IF(L9="","",L9-8)</f>
        <v/>
      </c>
      <c r="N9" s="10"/>
      <c r="O9" s="7"/>
      <c r="P9" s="7"/>
      <c r="Q9" s="8"/>
      <c r="R9" s="9" t="str">
        <f>IF(Q9="","",Q9-8)</f>
        <v/>
      </c>
      <c r="S9" s="6" t="s">
        <v>404</v>
      </c>
      <c r="T9" s="7">
        <v>0.33333333333333331</v>
      </c>
      <c r="U9" s="7">
        <v>0.70833333333333337</v>
      </c>
      <c r="V9" s="8">
        <v>8</v>
      </c>
      <c r="W9" s="9">
        <f>IF(V9="","",V9-8)</f>
        <v>0</v>
      </c>
      <c r="X9" s="11"/>
    </row>
    <row r="10" spans="2:24">
      <c r="B10" s="5">
        <v>43102</v>
      </c>
      <c r="C10" s="23" t="s">
        <v>348</v>
      </c>
      <c r="D10" s="6" t="s">
        <v>405</v>
      </c>
      <c r="E10" s="7"/>
      <c r="F10" s="7"/>
      <c r="G10" s="8"/>
      <c r="H10" s="9" t="str">
        <f>IF(G10="","",G10-8)</f>
        <v/>
      </c>
      <c r="I10" s="10" t="s">
        <v>406</v>
      </c>
      <c r="J10" s="7" t="s">
        <v>407</v>
      </c>
      <c r="K10" s="7" t="s">
        <v>408</v>
      </c>
      <c r="L10" s="8">
        <v>7</v>
      </c>
      <c r="M10" s="9">
        <f>IF(L10="","",L10-8)</f>
        <v>-1</v>
      </c>
      <c r="N10" s="10"/>
      <c r="O10" s="7"/>
      <c r="P10" s="7"/>
      <c r="Q10" s="8"/>
      <c r="R10" s="9" t="str">
        <f>IF(Q10="","",Q10-8)</f>
        <v/>
      </c>
      <c r="S10" s="6" t="s">
        <v>404</v>
      </c>
      <c r="T10" s="7">
        <v>0.35416666666666669</v>
      </c>
      <c r="U10" s="7">
        <v>0.70833333333333337</v>
      </c>
      <c r="V10" s="8">
        <v>7.5</v>
      </c>
      <c r="W10" s="9">
        <f>IF(V10="","",V10-8)</f>
        <v>-0.5</v>
      </c>
      <c r="X10" s="11"/>
    </row>
    <row r="11" spans="2:24">
      <c r="B11" s="5">
        <v>43103</v>
      </c>
      <c r="C11" s="23" t="s">
        <v>349</v>
      </c>
      <c r="D11" s="6" t="s">
        <v>409</v>
      </c>
      <c r="E11" s="7"/>
      <c r="F11" s="7"/>
      <c r="G11" s="8"/>
      <c r="H11" s="9" t="str">
        <f>IF(G11="","",G11-8)</f>
        <v/>
      </c>
      <c r="I11" s="10" t="s">
        <v>404</v>
      </c>
      <c r="J11" s="7" t="s">
        <v>410</v>
      </c>
      <c r="K11" s="7" t="s">
        <v>411</v>
      </c>
      <c r="L11" s="8">
        <v>5.5</v>
      </c>
      <c r="M11" s="9">
        <f>IF(L11="","",L11-8)</f>
        <v>-2.5</v>
      </c>
      <c r="N11" s="10"/>
      <c r="O11" s="7"/>
      <c r="P11" s="7"/>
      <c r="Q11" s="8"/>
      <c r="R11" s="9" t="str">
        <f>IF(Q11="","",Q11-8)</f>
        <v/>
      </c>
      <c r="S11" s="6" t="s">
        <v>404</v>
      </c>
      <c r="T11" s="7">
        <v>0.35416666666666669</v>
      </c>
      <c r="U11" s="7">
        <v>0.72916666666666663</v>
      </c>
      <c r="V11" s="8">
        <v>8</v>
      </c>
      <c r="W11" s="9">
        <f>IF(V11="","",V11-8)</f>
        <v>0</v>
      </c>
      <c r="X11" s="11"/>
    </row>
    <row r="12" spans="2:24">
      <c r="B12" s="5">
        <v>43104</v>
      </c>
      <c r="C12" s="23" t="s">
        <v>350</v>
      </c>
      <c r="D12" s="6" t="s">
        <v>404</v>
      </c>
      <c r="E12" s="7">
        <v>0.33333333333333331</v>
      </c>
      <c r="F12" s="7">
        <v>0.70833333333333337</v>
      </c>
      <c r="G12" s="8">
        <v>8</v>
      </c>
      <c r="H12" s="9">
        <f>IF(G12="","",G12-8)</f>
        <v>0</v>
      </c>
      <c r="I12" s="10" t="s">
        <v>406</v>
      </c>
      <c r="J12" s="7" t="s">
        <v>412</v>
      </c>
      <c r="K12" s="7" t="s">
        <v>413</v>
      </c>
      <c r="L12" s="8">
        <v>9</v>
      </c>
      <c r="M12" s="9">
        <f>IF(L12="","",L12-8)</f>
        <v>1</v>
      </c>
      <c r="N12" s="10"/>
      <c r="O12" s="7"/>
      <c r="P12" s="7"/>
      <c r="Q12" s="8"/>
      <c r="R12" s="9" t="str">
        <f>IF(Q12="","",Q12-8)</f>
        <v/>
      </c>
      <c r="S12" s="6" t="s">
        <v>404</v>
      </c>
      <c r="T12" s="7">
        <v>0.375</v>
      </c>
      <c r="U12" s="7">
        <v>0.79166666666666663</v>
      </c>
      <c r="V12" s="8">
        <v>9</v>
      </c>
      <c r="W12" s="9">
        <f>IF(V12="","",V12-8)</f>
        <v>1</v>
      </c>
      <c r="X12" s="11"/>
    </row>
    <row r="13" spans="2:24">
      <c r="B13" s="5">
        <v>43105</v>
      </c>
      <c r="C13" s="23" t="s">
        <v>351</v>
      </c>
      <c r="D13" s="6" t="s">
        <v>404</v>
      </c>
      <c r="E13" s="7">
        <v>0.33333333333333331</v>
      </c>
      <c r="F13" s="7">
        <v>0.70833333333333337</v>
      </c>
      <c r="G13" s="8">
        <v>8</v>
      </c>
      <c r="H13" s="9">
        <f>IF(G13="","",G13-8)</f>
        <v>0</v>
      </c>
      <c r="I13" s="10" t="s">
        <v>406</v>
      </c>
      <c r="J13" s="7" t="s">
        <v>407</v>
      </c>
      <c r="K13" s="7" t="s">
        <v>414</v>
      </c>
      <c r="L13" s="8">
        <v>8</v>
      </c>
      <c r="M13" s="9">
        <f>IF(L13="","",L13-8)</f>
        <v>0</v>
      </c>
      <c r="N13" s="10"/>
      <c r="O13" s="7"/>
      <c r="P13" s="7"/>
      <c r="Q13" s="8"/>
      <c r="R13" s="9" t="str">
        <f>IF(Q13="","",Q13-8)</f>
        <v/>
      </c>
      <c r="S13" s="6" t="s">
        <v>404</v>
      </c>
      <c r="T13" s="7">
        <v>0.33333333333333331</v>
      </c>
      <c r="U13" s="7">
        <v>0.70833333333333337</v>
      </c>
      <c r="V13" s="8">
        <v>8</v>
      </c>
      <c r="W13" s="9">
        <f>IF(V13="","",V13-8)</f>
        <v>0</v>
      </c>
      <c r="X13" s="11"/>
    </row>
    <row r="14" spans="2:24">
      <c r="B14" s="12">
        <v>43106</v>
      </c>
      <c r="C14" s="24" t="s">
        <v>352</v>
      </c>
      <c r="D14" s="13"/>
      <c r="E14" s="14"/>
      <c r="F14" s="14"/>
      <c r="G14" s="15"/>
      <c r="H14" s="16"/>
      <c r="I14" s="13" t="s">
        <v>308</v>
      </c>
      <c r="J14" s="14"/>
      <c r="K14" s="14"/>
      <c r="L14" s="15"/>
      <c r="M14" s="16"/>
      <c r="N14" s="13"/>
      <c r="O14" s="14"/>
      <c r="P14" s="14"/>
      <c r="Q14" s="15"/>
      <c r="R14" s="16"/>
      <c r="S14" s="13"/>
      <c r="T14" s="14"/>
      <c r="U14" s="14"/>
      <c r="V14" s="15"/>
      <c r="W14" s="16"/>
      <c r="X14" s="17"/>
    </row>
    <row r="15" spans="2:24">
      <c r="B15" s="12">
        <v>43107</v>
      </c>
      <c r="C15" s="24" t="s">
        <v>353</v>
      </c>
      <c r="D15" s="13"/>
      <c r="E15" s="14"/>
      <c r="F15" s="14"/>
      <c r="G15" s="15"/>
      <c r="H15" s="16"/>
      <c r="I15" s="13"/>
      <c r="J15" s="14"/>
      <c r="K15" s="14"/>
      <c r="L15" s="15"/>
      <c r="M15" s="16"/>
      <c r="N15" s="13"/>
      <c r="O15" s="14"/>
      <c r="P15" s="14"/>
      <c r="Q15" s="15"/>
      <c r="R15" s="16"/>
      <c r="S15" s="13"/>
      <c r="T15" s="14"/>
      <c r="U15" s="14"/>
      <c r="V15" s="15"/>
      <c r="W15" s="16"/>
      <c r="X15" s="17"/>
    </row>
    <row r="16" spans="2:24">
      <c r="B16" s="51" t="s">
        <v>309</v>
      </c>
      <c r="C16" s="52"/>
      <c r="D16" s="18"/>
      <c r="E16" s="19"/>
      <c r="F16" s="19"/>
      <c r="G16" s="20"/>
      <c r="H16" s="21">
        <f>SUM(H9:H15)</f>
        <v>0</v>
      </c>
      <c r="I16" s="18"/>
      <c r="J16" s="19"/>
      <c r="K16" s="19"/>
      <c r="L16" s="20"/>
      <c r="M16" s="21">
        <f>SUM(M9:M15)</f>
        <v>-2.5</v>
      </c>
      <c r="N16" s="18"/>
      <c r="O16" s="19"/>
      <c r="P16" s="19"/>
      <c r="Q16" s="20"/>
      <c r="R16" s="21">
        <f>SUM(R9:R15)</f>
        <v>0</v>
      </c>
      <c r="S16" s="18"/>
      <c r="T16" s="19"/>
      <c r="U16" s="19"/>
      <c r="V16" s="20"/>
      <c r="W16" s="21">
        <f>SUM(W9:W15)</f>
        <v>0.5</v>
      </c>
      <c r="X16" s="22"/>
    </row>
    <row r="17" spans="2:24">
      <c r="B17" s="5">
        <v>43108</v>
      </c>
      <c r="C17" s="23" t="s">
        <v>354</v>
      </c>
      <c r="D17" s="6" t="s">
        <v>406</v>
      </c>
      <c r="E17" s="7">
        <v>0.58333333333333337</v>
      </c>
      <c r="F17" s="7">
        <v>0.97916666666666663</v>
      </c>
      <c r="G17" s="8">
        <v>8.5</v>
      </c>
      <c r="H17" s="9">
        <f>IF(G17="","",G17-8)</f>
        <v>0.5</v>
      </c>
      <c r="I17" s="10" t="s">
        <v>404</v>
      </c>
      <c r="J17" s="7" t="s">
        <v>415</v>
      </c>
      <c r="K17" s="7" t="s">
        <v>416</v>
      </c>
      <c r="L17" s="8">
        <v>8.5</v>
      </c>
      <c r="M17" s="9">
        <f>IF(L17="","",L17-8)</f>
        <v>0.5</v>
      </c>
      <c r="N17" s="10"/>
      <c r="O17" s="7"/>
      <c r="P17" s="7"/>
      <c r="Q17" s="8"/>
      <c r="R17" s="9" t="str">
        <f>IF(Q17="","",Q17-8)</f>
        <v/>
      </c>
      <c r="S17" s="6" t="s">
        <v>406</v>
      </c>
      <c r="T17" s="7">
        <v>0.60416666666666663</v>
      </c>
      <c r="U17" s="7">
        <v>0.95833333333333337</v>
      </c>
      <c r="V17" s="8">
        <v>7.5</v>
      </c>
      <c r="W17" s="9">
        <f>IF(V17="","",V17-8)</f>
        <v>-0.5</v>
      </c>
      <c r="X17" s="11"/>
    </row>
    <row r="18" spans="2:24">
      <c r="B18" s="5">
        <v>43109</v>
      </c>
      <c r="C18" s="23" t="s">
        <v>355</v>
      </c>
      <c r="D18" s="6" t="s">
        <v>406</v>
      </c>
      <c r="E18" s="7">
        <v>0.5</v>
      </c>
      <c r="F18" s="7">
        <v>0.875</v>
      </c>
      <c r="G18" s="8">
        <v>8</v>
      </c>
      <c r="H18" s="9">
        <f>IF(G18="","",G18-8)</f>
        <v>0</v>
      </c>
      <c r="I18" s="10" t="s">
        <v>404</v>
      </c>
      <c r="J18" s="7" t="s">
        <v>415</v>
      </c>
      <c r="K18" s="7" t="s">
        <v>417</v>
      </c>
      <c r="L18" s="8">
        <v>9</v>
      </c>
      <c r="M18" s="9">
        <f>IF(L18="","",L18-8)</f>
        <v>1</v>
      </c>
      <c r="N18" s="10"/>
      <c r="O18" s="7"/>
      <c r="P18" s="7"/>
      <c r="Q18" s="8"/>
      <c r="R18" s="9" t="str">
        <f>IF(Q18="","",Q18-8)</f>
        <v/>
      </c>
      <c r="S18" s="6" t="s">
        <v>406</v>
      </c>
      <c r="T18" s="7">
        <v>0.54166666666666663</v>
      </c>
      <c r="U18" s="7">
        <v>0.875</v>
      </c>
      <c r="V18" s="8">
        <v>7</v>
      </c>
      <c r="W18" s="9">
        <f>IF(V18="","",V18-8)</f>
        <v>-1</v>
      </c>
      <c r="X18" s="11"/>
    </row>
    <row r="19" spans="2:24">
      <c r="B19" s="5">
        <v>43110</v>
      </c>
      <c r="C19" s="23" t="s">
        <v>356</v>
      </c>
      <c r="D19" s="6" t="s">
        <v>406</v>
      </c>
      <c r="E19" s="7">
        <v>0.41666666666666669</v>
      </c>
      <c r="F19" s="7">
        <v>0.79166666666666663</v>
      </c>
      <c r="G19" s="8">
        <v>8</v>
      </c>
      <c r="H19" s="9">
        <f>IF(G19="","",G19-8)</f>
        <v>0</v>
      </c>
      <c r="I19" s="10" t="s">
        <v>409</v>
      </c>
      <c r="J19" s="7"/>
      <c r="K19" s="7"/>
      <c r="L19" s="8"/>
      <c r="M19" s="9" t="str">
        <f>IF(L19="","",L19-8)</f>
        <v/>
      </c>
      <c r="N19" s="10"/>
      <c r="O19" s="7"/>
      <c r="P19" s="7"/>
      <c r="Q19" s="8"/>
      <c r="R19" s="9" t="str">
        <f>IF(Q19="","",Q19-8)</f>
        <v/>
      </c>
      <c r="S19" s="6" t="s">
        <v>406</v>
      </c>
      <c r="T19" s="7">
        <v>0.33333333333333331</v>
      </c>
      <c r="U19" s="7">
        <v>0.70833333333333337</v>
      </c>
      <c r="V19" s="8">
        <v>8</v>
      </c>
      <c r="W19" s="9">
        <f>IF(V19="","",V19-8)</f>
        <v>0</v>
      </c>
      <c r="X19" s="11"/>
    </row>
    <row r="20" spans="2:24">
      <c r="B20" s="5">
        <v>43111</v>
      </c>
      <c r="C20" s="23" t="s">
        <v>357</v>
      </c>
      <c r="D20" s="6" t="s">
        <v>406</v>
      </c>
      <c r="E20" s="7">
        <v>0.625</v>
      </c>
      <c r="F20" s="7">
        <v>0.97916666666666663</v>
      </c>
      <c r="G20" s="8">
        <v>7.5</v>
      </c>
      <c r="H20" s="9">
        <f>IF(G20="","",G20-8)</f>
        <v>-0.5</v>
      </c>
      <c r="I20" s="10" t="s">
        <v>404</v>
      </c>
      <c r="J20" s="7" t="s">
        <v>418</v>
      </c>
      <c r="K20" s="7" t="s">
        <v>419</v>
      </c>
      <c r="L20" s="8">
        <v>8</v>
      </c>
      <c r="M20" s="9">
        <f>IF(L20="","",L20-8)</f>
        <v>0</v>
      </c>
      <c r="N20" s="10"/>
      <c r="O20" s="7"/>
      <c r="P20" s="7"/>
      <c r="Q20" s="8"/>
      <c r="R20" s="9" t="str">
        <f>IF(Q20="","",Q20-8)</f>
        <v/>
      </c>
      <c r="S20" s="6" t="s">
        <v>406</v>
      </c>
      <c r="T20" s="7">
        <v>0.625</v>
      </c>
      <c r="U20" s="7">
        <v>0</v>
      </c>
      <c r="V20" s="8">
        <v>8</v>
      </c>
      <c r="W20" s="9">
        <f>IF(V20="","",V20-8)</f>
        <v>0</v>
      </c>
      <c r="X20" s="11"/>
    </row>
    <row r="21" spans="2:24">
      <c r="B21" s="5">
        <v>43112</v>
      </c>
      <c r="C21" s="23" t="s">
        <v>358</v>
      </c>
      <c r="D21" s="6" t="s">
        <v>406</v>
      </c>
      <c r="E21" s="7">
        <v>0.5</v>
      </c>
      <c r="F21" s="7">
        <v>0.95833333333333337</v>
      </c>
      <c r="G21" s="8">
        <v>10</v>
      </c>
      <c r="H21" s="9">
        <f>IF(G21="","",G21-8)</f>
        <v>2</v>
      </c>
      <c r="I21" s="10" t="s">
        <v>404</v>
      </c>
      <c r="J21" s="7" t="s">
        <v>415</v>
      </c>
      <c r="K21" s="7" t="s">
        <v>419</v>
      </c>
      <c r="L21" s="8">
        <v>9.5</v>
      </c>
      <c r="M21" s="9">
        <f>IF(L21="","",L21-8)</f>
        <v>1.5</v>
      </c>
      <c r="N21" s="10"/>
      <c r="O21" s="7"/>
      <c r="P21" s="7"/>
      <c r="Q21" s="8"/>
      <c r="R21" s="9" t="str">
        <f>IF(Q21="","",Q21-8)</f>
        <v/>
      </c>
      <c r="S21" s="6" t="s">
        <v>406</v>
      </c>
      <c r="T21" s="7">
        <v>0.5</v>
      </c>
      <c r="U21" s="7">
        <v>0.875</v>
      </c>
      <c r="V21" s="8">
        <v>8</v>
      </c>
      <c r="W21" s="9">
        <f>IF(V21="","",V21-8)</f>
        <v>0</v>
      </c>
      <c r="X21" s="11"/>
    </row>
    <row r="22" spans="2:24">
      <c r="B22" s="12">
        <v>43113</v>
      </c>
      <c r="C22" s="24" t="s">
        <v>359</v>
      </c>
      <c r="D22" s="13"/>
      <c r="E22" s="14"/>
      <c r="F22" s="14"/>
      <c r="G22" s="15"/>
      <c r="H22" s="16"/>
      <c r="I22" s="13"/>
      <c r="J22" s="14"/>
      <c r="K22" s="14"/>
      <c r="L22" s="15"/>
      <c r="M22" s="16"/>
      <c r="N22" s="13"/>
      <c r="O22" s="14"/>
      <c r="P22" s="14"/>
      <c r="Q22" s="15"/>
      <c r="R22" s="16"/>
      <c r="S22" s="13" t="s">
        <v>308</v>
      </c>
      <c r="T22" s="14">
        <v>0.33333333333333331</v>
      </c>
      <c r="U22" s="14">
        <v>0.75</v>
      </c>
      <c r="V22" s="15"/>
      <c r="W22" s="16"/>
      <c r="X22" s="17"/>
    </row>
    <row r="23" spans="2:24">
      <c r="B23" s="12">
        <v>43114</v>
      </c>
      <c r="C23" s="24" t="s">
        <v>360</v>
      </c>
      <c r="D23" s="13" t="s">
        <v>308</v>
      </c>
      <c r="E23" s="14"/>
      <c r="F23" s="14"/>
      <c r="G23" s="15"/>
      <c r="H23" s="16">
        <v>3</v>
      </c>
      <c r="I23" s="13"/>
      <c r="J23" s="14"/>
      <c r="K23" s="14"/>
      <c r="L23" s="15"/>
      <c r="M23" s="16"/>
      <c r="N23" s="13"/>
      <c r="O23" s="14"/>
      <c r="P23" s="14"/>
      <c r="Q23" s="15"/>
      <c r="R23" s="16"/>
      <c r="S23" s="13"/>
      <c r="T23" s="14"/>
      <c r="U23" s="14"/>
      <c r="V23" s="15"/>
      <c r="W23" s="16"/>
      <c r="X23" s="17"/>
    </row>
    <row r="24" spans="2:24">
      <c r="B24" s="51" t="s">
        <v>309</v>
      </c>
      <c r="C24" s="52"/>
      <c r="D24" s="18"/>
      <c r="E24" s="19"/>
      <c r="F24" s="19"/>
      <c r="G24" s="20"/>
      <c r="H24" s="21">
        <f>SUM(H17:H23)</f>
        <v>5</v>
      </c>
      <c r="I24" s="18"/>
      <c r="J24" s="19"/>
      <c r="K24" s="19"/>
      <c r="L24" s="20"/>
      <c r="M24" s="21">
        <f>SUM(M17:M23)</f>
        <v>3</v>
      </c>
      <c r="N24" s="18"/>
      <c r="O24" s="19"/>
      <c r="P24" s="19"/>
      <c r="Q24" s="20"/>
      <c r="R24" s="21">
        <f>SUM(R17:R23)</f>
        <v>0</v>
      </c>
      <c r="S24" s="18"/>
      <c r="T24" s="19"/>
      <c r="U24" s="19"/>
      <c r="V24" s="20"/>
      <c r="W24" s="21">
        <f>SUM(W17:W23)</f>
        <v>-1.5</v>
      </c>
      <c r="X24" s="22"/>
    </row>
    <row r="25" spans="2:24">
      <c r="B25" s="5">
        <v>43115</v>
      </c>
      <c r="C25" s="23" t="s">
        <v>361</v>
      </c>
      <c r="D25" s="6" t="s">
        <v>404</v>
      </c>
      <c r="E25" s="7" t="s">
        <v>420</v>
      </c>
      <c r="F25" s="7" t="s">
        <v>421</v>
      </c>
      <c r="G25" s="8">
        <v>7.5</v>
      </c>
      <c r="H25" s="9">
        <f>IF(G25="","",G25-8)</f>
        <v>-0.5</v>
      </c>
      <c r="I25" s="10" t="s">
        <v>406</v>
      </c>
      <c r="J25" s="7" t="s">
        <v>412</v>
      </c>
      <c r="K25" s="7" t="s">
        <v>422</v>
      </c>
      <c r="L25" s="8">
        <v>11</v>
      </c>
      <c r="M25" s="9">
        <f>IF(L25="","",L25-8)</f>
        <v>3</v>
      </c>
      <c r="N25" s="10" t="s">
        <v>406</v>
      </c>
      <c r="O25" s="7" t="s">
        <v>412</v>
      </c>
      <c r="P25" s="7" t="s">
        <v>422</v>
      </c>
      <c r="Q25" s="8">
        <v>11</v>
      </c>
      <c r="R25" s="9">
        <f>IF(Q25="","",Q25-8)</f>
        <v>3</v>
      </c>
      <c r="S25" s="6" t="s">
        <v>404</v>
      </c>
      <c r="T25" s="7">
        <v>0.33333333333333331</v>
      </c>
      <c r="U25" s="7">
        <v>0.70833333333333337</v>
      </c>
      <c r="V25" s="8">
        <v>8</v>
      </c>
      <c r="W25" s="9">
        <f>IF(V25="","",V25-8)</f>
        <v>0</v>
      </c>
      <c r="X25" s="11"/>
    </row>
    <row r="26" spans="2:24">
      <c r="B26" s="5">
        <v>43116</v>
      </c>
      <c r="C26" s="23" t="s">
        <v>362</v>
      </c>
      <c r="D26" s="6" t="s">
        <v>404</v>
      </c>
      <c r="E26" s="7" t="s">
        <v>415</v>
      </c>
      <c r="F26" s="7" t="s">
        <v>421</v>
      </c>
      <c r="G26" s="8">
        <v>8</v>
      </c>
      <c r="H26" s="9">
        <f>IF(G26="","",G26-8)</f>
        <v>0</v>
      </c>
      <c r="I26" s="10" t="s">
        <v>406</v>
      </c>
      <c r="J26" s="7" t="s">
        <v>407</v>
      </c>
      <c r="K26" s="7"/>
      <c r="L26" s="8"/>
      <c r="M26" s="9" t="str">
        <f>IF(L26="","",L26-8)</f>
        <v/>
      </c>
      <c r="N26" s="10" t="s">
        <v>406</v>
      </c>
      <c r="O26" s="7" t="s">
        <v>407</v>
      </c>
      <c r="P26" s="7"/>
      <c r="Q26" s="8"/>
      <c r="R26" s="9" t="str">
        <f>IF(Q26="","",Q26-8)</f>
        <v/>
      </c>
      <c r="S26" s="6" t="s">
        <v>404</v>
      </c>
      <c r="T26" s="7">
        <v>0.33333333333333331</v>
      </c>
      <c r="U26" s="7">
        <v>0.77083333333333337</v>
      </c>
      <c r="V26" s="8">
        <v>9.5</v>
      </c>
      <c r="W26" s="9">
        <f>IF(V26="","",V26-8)</f>
        <v>1.5</v>
      </c>
      <c r="X26" s="11"/>
    </row>
    <row r="27" spans="2:24">
      <c r="B27" s="5">
        <v>43117</v>
      </c>
      <c r="C27" s="23" t="s">
        <v>363</v>
      </c>
      <c r="D27" s="6" t="s">
        <v>404</v>
      </c>
      <c r="E27" s="7" t="s">
        <v>415</v>
      </c>
      <c r="F27" s="7" t="s">
        <v>423</v>
      </c>
      <c r="G27" s="8">
        <v>10</v>
      </c>
      <c r="H27" s="9">
        <f>IF(G27="","",G27-8)</f>
        <v>2</v>
      </c>
      <c r="I27" s="10" t="s">
        <v>404</v>
      </c>
      <c r="J27" s="7">
        <v>0.35416666666666669</v>
      </c>
      <c r="K27" s="7">
        <v>0.72916666666666663</v>
      </c>
      <c r="L27" s="8">
        <v>8</v>
      </c>
      <c r="M27" s="9">
        <f>IF(L27="","",L27-8)</f>
        <v>0</v>
      </c>
      <c r="N27" s="10" t="s">
        <v>404</v>
      </c>
      <c r="O27" s="7">
        <v>0.4375</v>
      </c>
      <c r="P27" s="7">
        <v>0.8125</v>
      </c>
      <c r="Q27" s="8">
        <v>8</v>
      </c>
      <c r="R27" s="9">
        <f>IF(Q27="","",Q27-8)</f>
        <v>0</v>
      </c>
      <c r="S27" s="6" t="s">
        <v>409</v>
      </c>
      <c r="T27" s="7"/>
      <c r="U27" s="7"/>
      <c r="V27" s="8"/>
      <c r="W27" s="9" t="str">
        <f>IF(V27="","",V27-8)</f>
        <v/>
      </c>
      <c r="X27" s="11"/>
    </row>
    <row r="28" spans="2:24">
      <c r="B28" s="5">
        <v>43118</v>
      </c>
      <c r="C28" s="23" t="s">
        <v>364</v>
      </c>
      <c r="D28" s="6" t="s">
        <v>404</v>
      </c>
      <c r="E28" s="7" t="s">
        <v>415</v>
      </c>
      <c r="F28" s="7" t="s">
        <v>421</v>
      </c>
      <c r="G28" s="8">
        <v>8</v>
      </c>
      <c r="H28" s="9">
        <f>IF(G28="","",G28-8)</f>
        <v>0</v>
      </c>
      <c r="I28" s="10" t="s">
        <v>406</v>
      </c>
      <c r="J28" s="7">
        <v>0.625</v>
      </c>
      <c r="K28" s="7">
        <v>0.95833333333333337</v>
      </c>
      <c r="L28" s="8">
        <v>8</v>
      </c>
      <c r="M28" s="9">
        <f>IF(L28="","",L28-8)</f>
        <v>0</v>
      </c>
      <c r="N28" s="10" t="s">
        <v>406</v>
      </c>
      <c r="O28" s="7"/>
      <c r="P28" s="7"/>
      <c r="Q28" s="8"/>
      <c r="R28" s="9" t="str">
        <f>IF(Q28="","",Q28-8)</f>
        <v/>
      </c>
      <c r="S28" s="6" t="s">
        <v>404</v>
      </c>
      <c r="T28" s="7">
        <v>0.33333333333333331</v>
      </c>
      <c r="U28" s="7">
        <v>0.75</v>
      </c>
      <c r="V28" s="8">
        <v>9</v>
      </c>
      <c r="W28" s="9">
        <f>IF(V28="","",V28-8)</f>
        <v>1</v>
      </c>
      <c r="X28" s="11"/>
    </row>
    <row r="29" spans="2:24">
      <c r="B29" s="5">
        <v>43119</v>
      </c>
      <c r="C29" s="23" t="s">
        <v>365</v>
      </c>
      <c r="D29" s="6" t="s">
        <v>404</v>
      </c>
      <c r="E29" s="7" t="s">
        <v>415</v>
      </c>
      <c r="F29" s="7" t="s">
        <v>417</v>
      </c>
      <c r="G29" s="8">
        <v>9</v>
      </c>
      <c r="H29" s="9">
        <f>IF(G29="","",G29-8)</f>
        <v>1</v>
      </c>
      <c r="I29" s="10" t="s">
        <v>406</v>
      </c>
      <c r="J29" s="7">
        <v>0.54166666666666663</v>
      </c>
      <c r="K29" s="7"/>
      <c r="L29" s="8"/>
      <c r="M29" s="9" t="str">
        <f>IF(L29="","",L29-8)</f>
        <v/>
      </c>
      <c r="N29" s="10" t="s">
        <v>406</v>
      </c>
      <c r="O29" s="7"/>
      <c r="P29" s="7"/>
      <c r="Q29" s="8"/>
      <c r="R29" s="9" t="str">
        <f>IF(Q29="","",Q29-8)</f>
        <v/>
      </c>
      <c r="S29" s="6" t="s">
        <v>409</v>
      </c>
      <c r="T29" s="7"/>
      <c r="U29" s="7"/>
      <c r="V29" s="8"/>
      <c r="W29" s="9" t="str">
        <f>IF(V29="","",V29-8)</f>
        <v/>
      </c>
      <c r="X29" s="11"/>
    </row>
    <row r="30" spans="2:24">
      <c r="B30" s="12">
        <v>43120</v>
      </c>
      <c r="C30" s="24" t="s">
        <v>366</v>
      </c>
      <c r="D30" s="13"/>
      <c r="E30" s="14"/>
      <c r="F30" s="14"/>
      <c r="G30" s="15"/>
      <c r="H30" s="16"/>
      <c r="I30" s="13"/>
      <c r="J30" s="14"/>
      <c r="K30" s="14"/>
      <c r="L30" s="15"/>
      <c r="M30" s="16"/>
      <c r="N30" s="13" t="s">
        <v>308</v>
      </c>
      <c r="O30" s="14">
        <v>0.33333333333333331</v>
      </c>
      <c r="P30" s="14">
        <v>0.75</v>
      </c>
      <c r="Q30" s="15">
        <v>10</v>
      </c>
      <c r="R30" s="16">
        <v>2</v>
      </c>
      <c r="S30" s="13"/>
      <c r="T30" s="14"/>
      <c r="U30" s="14"/>
      <c r="V30" s="15"/>
      <c r="W30" s="16"/>
      <c r="X30" s="17"/>
    </row>
    <row r="31" spans="2:24">
      <c r="B31" s="12">
        <v>43121</v>
      </c>
      <c r="C31" s="24" t="s">
        <v>367</v>
      </c>
      <c r="D31" s="13"/>
      <c r="E31" s="14"/>
      <c r="F31" s="14"/>
      <c r="G31" s="15"/>
      <c r="H31" s="16"/>
      <c r="I31" s="13" t="s">
        <v>308</v>
      </c>
      <c r="J31" s="14" t="s">
        <v>416</v>
      </c>
      <c r="K31" s="14" t="s">
        <v>424</v>
      </c>
      <c r="L31" s="15">
        <v>2</v>
      </c>
      <c r="M31" s="16">
        <v>2</v>
      </c>
      <c r="N31" s="13"/>
      <c r="O31" s="14"/>
      <c r="P31" s="14"/>
      <c r="Q31" s="15"/>
      <c r="R31" s="16"/>
      <c r="S31" s="13"/>
      <c r="T31" s="14"/>
      <c r="U31" s="14"/>
      <c r="V31" s="15"/>
      <c r="W31" s="16"/>
      <c r="X31" s="17"/>
    </row>
    <row r="32" spans="2:24">
      <c r="B32" s="51" t="s">
        <v>309</v>
      </c>
      <c r="C32" s="52"/>
      <c r="D32" s="18"/>
      <c r="E32" s="19"/>
      <c r="F32" s="19"/>
      <c r="G32" s="20"/>
      <c r="H32" s="21">
        <f>SUM(H25:H31)</f>
        <v>2.5</v>
      </c>
      <c r="I32" s="18"/>
      <c r="J32" s="19"/>
      <c r="K32" s="19"/>
      <c r="L32" s="20"/>
      <c r="M32" s="21">
        <f>SUM(M25:M31)</f>
        <v>5</v>
      </c>
      <c r="N32" s="18"/>
      <c r="O32" s="19"/>
      <c r="P32" s="19"/>
      <c r="Q32" s="20"/>
      <c r="R32" s="21">
        <f>SUM(R25:R31)</f>
        <v>5</v>
      </c>
      <c r="S32" s="18"/>
      <c r="T32" s="19"/>
      <c r="U32" s="19"/>
      <c r="V32" s="20"/>
      <c r="W32" s="21">
        <f>SUM(W25:W31)</f>
        <v>2.5</v>
      </c>
      <c r="X32" s="22"/>
    </row>
    <row r="33" spans="2:24">
      <c r="B33" s="5">
        <v>43122</v>
      </c>
      <c r="C33" s="23" t="s">
        <v>368</v>
      </c>
      <c r="D33" s="6" t="s">
        <v>406</v>
      </c>
      <c r="E33" s="7">
        <v>0.625</v>
      </c>
      <c r="F33" s="7">
        <v>2.0833333333333332E-2</v>
      </c>
      <c r="G33" s="8">
        <v>8.5</v>
      </c>
      <c r="H33" s="9">
        <f>IF(G33="","",G33-8)</f>
        <v>0.5</v>
      </c>
      <c r="I33" s="10" t="s">
        <v>404</v>
      </c>
      <c r="J33" s="7" t="s">
        <v>415</v>
      </c>
      <c r="K33" s="7" t="s">
        <v>417</v>
      </c>
      <c r="L33" s="8">
        <v>9</v>
      </c>
      <c r="M33" s="9">
        <f>IF(L33="","",L33-8)</f>
        <v>1</v>
      </c>
      <c r="N33" s="10"/>
      <c r="O33" s="7"/>
      <c r="P33" s="7"/>
      <c r="Q33" s="8"/>
      <c r="R33" s="9" t="str">
        <f>IF(Q33="","",Q33-8)</f>
        <v/>
      </c>
      <c r="S33" s="6" t="s">
        <v>406</v>
      </c>
      <c r="T33" s="7">
        <v>0.625</v>
      </c>
      <c r="U33" s="7">
        <v>2.0833333333333332E-2</v>
      </c>
      <c r="V33" s="8">
        <v>8.5</v>
      </c>
      <c r="W33" s="9">
        <f>IF(V33="","",V33-8)</f>
        <v>0.5</v>
      </c>
      <c r="X33" s="11"/>
    </row>
    <row r="34" spans="2:24">
      <c r="B34" s="5">
        <v>43123</v>
      </c>
      <c r="C34" s="23" t="s">
        <v>369</v>
      </c>
      <c r="D34" s="6" t="s">
        <v>406</v>
      </c>
      <c r="E34" s="7">
        <v>0.5</v>
      </c>
      <c r="F34" s="7">
        <v>0.89583333333333337</v>
      </c>
      <c r="G34" s="8">
        <v>8.5</v>
      </c>
      <c r="H34" s="9">
        <f>IF(G34="","",G34-8)</f>
        <v>0.5</v>
      </c>
      <c r="I34" s="10" t="s">
        <v>404</v>
      </c>
      <c r="J34" s="7" t="s">
        <v>415</v>
      </c>
      <c r="K34" s="7" t="s">
        <v>421</v>
      </c>
      <c r="L34" s="8">
        <v>8</v>
      </c>
      <c r="M34" s="9">
        <f>IF(L34="","",L34-8)</f>
        <v>0</v>
      </c>
      <c r="N34" s="10"/>
      <c r="O34" s="7"/>
      <c r="P34" s="7"/>
      <c r="Q34" s="8"/>
      <c r="R34" s="9" t="str">
        <f>IF(Q34="","",Q34-8)</f>
        <v/>
      </c>
      <c r="S34" s="6" t="s">
        <v>406</v>
      </c>
      <c r="T34" s="7">
        <v>0.5</v>
      </c>
      <c r="U34" s="7">
        <v>0.89583333333333337</v>
      </c>
      <c r="V34" s="8">
        <v>8.5</v>
      </c>
      <c r="W34" s="9">
        <f>IF(V34="","",V34-8)</f>
        <v>0.5</v>
      </c>
      <c r="X34" s="11"/>
    </row>
    <row r="35" spans="2:24">
      <c r="B35" s="5">
        <v>43124</v>
      </c>
      <c r="C35" s="23" t="s">
        <v>370</v>
      </c>
      <c r="D35" s="6" t="s">
        <v>406</v>
      </c>
      <c r="E35" s="7">
        <v>0.41666666666666669</v>
      </c>
      <c r="F35" s="7">
        <v>0.58333333333333337</v>
      </c>
      <c r="G35" s="8">
        <v>5</v>
      </c>
      <c r="H35" s="9"/>
      <c r="I35" s="10" t="s">
        <v>404</v>
      </c>
      <c r="J35" s="7" t="s">
        <v>425</v>
      </c>
      <c r="K35" s="7"/>
      <c r="L35" s="8"/>
      <c r="M35" s="9" t="str">
        <f>IF(L35="","",L35-8)</f>
        <v/>
      </c>
      <c r="N35" s="10" t="s">
        <v>404</v>
      </c>
      <c r="O35" s="7">
        <v>0.25</v>
      </c>
      <c r="P35" s="7">
        <v>0.5</v>
      </c>
      <c r="Q35" s="8">
        <v>6</v>
      </c>
      <c r="R35" s="9">
        <v>6</v>
      </c>
      <c r="S35" s="6" t="s">
        <v>406</v>
      </c>
      <c r="T35" s="7">
        <v>0.39583333333333331</v>
      </c>
      <c r="U35" s="7">
        <v>0.58333333333333337</v>
      </c>
      <c r="V35" s="8">
        <v>5.5</v>
      </c>
      <c r="W35" s="9">
        <f>IF(V35="","",V35-8)</f>
        <v>-2.5</v>
      </c>
      <c r="X35" s="11" t="s">
        <v>426</v>
      </c>
    </row>
    <row r="36" spans="2:24">
      <c r="B36" s="5">
        <v>43125</v>
      </c>
      <c r="C36" s="23" t="s">
        <v>371</v>
      </c>
      <c r="D36" s="6" t="s">
        <v>406</v>
      </c>
      <c r="E36" s="7">
        <v>0.54166666666666663</v>
      </c>
      <c r="F36" s="7">
        <v>8.3333333333333329E-2</v>
      </c>
      <c r="G36" s="8">
        <v>12</v>
      </c>
      <c r="H36" s="9">
        <f>IF(G36="","",G36-8)</f>
        <v>4</v>
      </c>
      <c r="I36" s="10" t="s">
        <v>404</v>
      </c>
      <c r="J36" s="7" t="s">
        <v>427</v>
      </c>
      <c r="K36" s="7" t="s">
        <v>423</v>
      </c>
      <c r="L36" s="8">
        <v>8</v>
      </c>
      <c r="M36" s="9">
        <f>IF(L36="","",L36-8)</f>
        <v>0</v>
      </c>
      <c r="N36" s="10"/>
      <c r="O36" s="7"/>
      <c r="P36" s="7"/>
      <c r="Q36" s="8"/>
      <c r="R36" s="9" t="str">
        <f>IF(Q36="","",Q36-8)</f>
        <v/>
      </c>
      <c r="S36" s="6" t="s">
        <v>406</v>
      </c>
      <c r="T36" s="7">
        <v>0.45833333333333331</v>
      </c>
      <c r="U36" s="7">
        <v>0</v>
      </c>
      <c r="V36" s="8">
        <v>12</v>
      </c>
      <c r="W36" s="9">
        <f>IF(V36="","",V36-8)</f>
        <v>4</v>
      </c>
      <c r="X36" s="11"/>
    </row>
    <row r="37" spans="2:24">
      <c r="B37" s="5">
        <v>43126</v>
      </c>
      <c r="C37" s="23" t="s">
        <v>372</v>
      </c>
      <c r="D37" s="6" t="s">
        <v>405</v>
      </c>
      <c r="E37" s="7"/>
      <c r="F37" s="7"/>
      <c r="G37" s="8"/>
      <c r="H37" s="9" t="str">
        <f>IF(G37="","",G37-8)</f>
        <v/>
      </c>
      <c r="I37" s="10" t="s">
        <v>404</v>
      </c>
      <c r="J37" s="7" t="s">
        <v>415</v>
      </c>
      <c r="K37" s="7" t="s">
        <v>419</v>
      </c>
      <c r="L37" s="8">
        <v>9.5</v>
      </c>
      <c r="M37" s="9">
        <f>IF(L37="","",L37-8)</f>
        <v>1.5</v>
      </c>
      <c r="N37" s="10"/>
      <c r="O37" s="7"/>
      <c r="P37" s="7"/>
      <c r="Q37" s="8"/>
      <c r="R37" s="9" t="str">
        <f>IF(Q37="","",Q37-8)</f>
        <v/>
      </c>
      <c r="S37" s="6" t="s">
        <v>406</v>
      </c>
      <c r="T37" s="7">
        <v>0.54166666666666663</v>
      </c>
      <c r="U37" s="7">
        <v>0.875</v>
      </c>
      <c r="V37" s="8">
        <v>7</v>
      </c>
      <c r="W37" s="9">
        <f>IF(V37="","",V37-8)</f>
        <v>-1</v>
      </c>
      <c r="X37" s="11"/>
    </row>
    <row r="38" spans="2:24">
      <c r="B38" s="12">
        <v>43127</v>
      </c>
      <c r="C38" s="24" t="s">
        <v>373</v>
      </c>
      <c r="D38" s="13" t="s">
        <v>308</v>
      </c>
      <c r="E38" s="14">
        <v>0.33333333333333331</v>
      </c>
      <c r="F38" s="14">
        <v>0.77083333333333337</v>
      </c>
      <c r="G38" s="15"/>
      <c r="H38" s="16">
        <v>8</v>
      </c>
      <c r="I38" s="13"/>
      <c r="J38" s="14"/>
      <c r="K38" s="14"/>
      <c r="L38" s="15"/>
      <c r="M38" s="16"/>
      <c r="N38" s="13"/>
      <c r="O38" s="14"/>
      <c r="P38" s="14"/>
      <c r="Q38" s="15"/>
      <c r="R38" s="16"/>
      <c r="S38" s="13"/>
      <c r="T38" s="14"/>
      <c r="U38" s="14"/>
      <c r="V38" s="15"/>
      <c r="W38" s="16"/>
      <c r="X38" s="17"/>
    </row>
    <row r="39" spans="2:24">
      <c r="B39" s="12">
        <v>43128</v>
      </c>
      <c r="C39" s="24" t="s">
        <v>374</v>
      </c>
      <c r="D39" s="13"/>
      <c r="E39" s="14"/>
      <c r="F39" s="14"/>
      <c r="G39" s="15"/>
      <c r="H39" s="16"/>
      <c r="I39" s="13"/>
      <c r="J39" s="14"/>
      <c r="K39" s="14"/>
      <c r="L39" s="15"/>
      <c r="M39" s="16"/>
      <c r="N39" s="13"/>
      <c r="O39" s="14"/>
      <c r="P39" s="14"/>
      <c r="Q39" s="15"/>
      <c r="R39" s="16"/>
      <c r="S39" s="13" t="s">
        <v>308</v>
      </c>
      <c r="T39" s="14">
        <v>0.72916666666666663</v>
      </c>
      <c r="U39" s="14">
        <v>0.79166666666666663</v>
      </c>
      <c r="V39" s="15"/>
      <c r="W39" s="16">
        <v>1.5</v>
      </c>
      <c r="X39" s="17"/>
    </row>
    <row r="40" spans="2:24">
      <c r="B40" s="51" t="s">
        <v>309</v>
      </c>
      <c r="C40" s="52"/>
      <c r="D40" s="18"/>
      <c r="E40" s="19"/>
      <c r="F40" s="19"/>
      <c r="G40" s="20"/>
      <c r="H40" s="21">
        <f>SUM(H33:H39)</f>
        <v>13</v>
      </c>
      <c r="I40" s="18"/>
      <c r="J40" s="19"/>
      <c r="K40" s="19"/>
      <c r="L40" s="20"/>
      <c r="M40" s="21">
        <f>SUM(M33:M39)</f>
        <v>2.5</v>
      </c>
      <c r="N40" s="18"/>
      <c r="O40" s="19"/>
      <c r="P40" s="19"/>
      <c r="Q40" s="20"/>
      <c r="R40" s="21">
        <f>SUM(R33:R39)</f>
        <v>6</v>
      </c>
      <c r="S40" s="18"/>
      <c r="T40" s="19"/>
      <c r="U40" s="19"/>
      <c r="V40" s="20"/>
      <c r="W40" s="21">
        <f>SUM(W33:W39)</f>
        <v>3</v>
      </c>
      <c r="X40" s="22"/>
    </row>
    <row r="41" spans="2:24">
      <c r="B41" s="5">
        <v>43129</v>
      </c>
      <c r="C41" s="23" t="s">
        <v>375</v>
      </c>
      <c r="D41" s="6" t="s">
        <v>404</v>
      </c>
      <c r="E41" s="7">
        <v>0.33333333333333331</v>
      </c>
      <c r="F41" s="7">
        <v>0.77083333333333337</v>
      </c>
      <c r="G41" s="8">
        <v>9.5</v>
      </c>
      <c r="H41" s="9">
        <f>IF(G41="","",G41-8)</f>
        <v>1.5</v>
      </c>
      <c r="I41" s="10" t="s">
        <v>406</v>
      </c>
      <c r="J41" s="7" t="s">
        <v>412</v>
      </c>
      <c r="K41" s="7" t="s">
        <v>428</v>
      </c>
      <c r="L41" s="8">
        <v>9</v>
      </c>
      <c r="M41" s="9">
        <f>IF(L41="","",L41-8)</f>
        <v>1</v>
      </c>
      <c r="N41" s="10"/>
      <c r="O41" s="7"/>
      <c r="P41" s="7"/>
      <c r="Q41" s="8"/>
      <c r="R41" s="9" t="str">
        <f>IF(Q41="","",Q41-8)</f>
        <v/>
      </c>
      <c r="S41" s="6" t="s">
        <v>404</v>
      </c>
      <c r="T41" s="7">
        <v>0.33333333333333331</v>
      </c>
      <c r="U41" s="7">
        <v>0.72916666666666663</v>
      </c>
      <c r="V41" s="8">
        <v>8.5</v>
      </c>
      <c r="W41" s="9">
        <f>IF(V41="","",V41-8)</f>
        <v>0.5</v>
      </c>
      <c r="X41" s="11"/>
    </row>
    <row r="42" spans="2:24">
      <c r="B42" s="5">
        <v>43130</v>
      </c>
      <c r="C42" s="23" t="s">
        <v>376</v>
      </c>
      <c r="D42" s="6" t="s">
        <v>405</v>
      </c>
      <c r="E42" s="7"/>
      <c r="F42" s="7"/>
      <c r="G42" s="8"/>
      <c r="H42" s="9" t="str">
        <f>IF(G42="","",G42-8)</f>
        <v/>
      </c>
      <c r="I42" s="10" t="s">
        <v>406</v>
      </c>
      <c r="J42" s="7" t="s">
        <v>407</v>
      </c>
      <c r="K42" s="7" t="s">
        <v>429</v>
      </c>
      <c r="L42" s="8">
        <v>9.5</v>
      </c>
      <c r="M42" s="9">
        <f>IF(L42="","",L42-8)</f>
        <v>1.5</v>
      </c>
      <c r="N42" s="10"/>
      <c r="O42" s="7"/>
      <c r="P42" s="7"/>
      <c r="Q42" s="8"/>
      <c r="R42" s="9" t="str">
        <f>IF(Q42="","",Q42-8)</f>
        <v/>
      </c>
      <c r="S42" s="6" t="s">
        <v>404</v>
      </c>
      <c r="T42" s="7">
        <v>0.33333333333333331</v>
      </c>
      <c r="U42" s="7">
        <v>0.75</v>
      </c>
      <c r="V42" s="8">
        <v>9</v>
      </c>
      <c r="W42" s="9">
        <f>IF(V42="","",V42-8)</f>
        <v>1</v>
      </c>
      <c r="X42" s="11"/>
    </row>
    <row r="43" spans="2:24">
      <c r="B43" s="5">
        <v>43131</v>
      </c>
      <c r="C43" s="23" t="s">
        <v>11</v>
      </c>
      <c r="D43" s="6" t="s">
        <v>405</v>
      </c>
      <c r="E43" s="7"/>
      <c r="F43" s="7"/>
      <c r="G43" s="8"/>
      <c r="H43" s="9" t="str">
        <f>IF(G43="","",G43-8)</f>
        <v/>
      </c>
      <c r="I43" s="10" t="s">
        <v>404</v>
      </c>
      <c r="J43" s="7">
        <v>0.375</v>
      </c>
      <c r="K43" s="7">
        <v>0.75</v>
      </c>
      <c r="L43" s="8">
        <v>8</v>
      </c>
      <c r="M43" s="9">
        <f>IF(L43="","",L43-8)</f>
        <v>0</v>
      </c>
      <c r="N43" s="10"/>
      <c r="O43" s="7"/>
      <c r="P43" s="7"/>
      <c r="Q43" s="8"/>
      <c r="R43" s="9" t="str">
        <f>IF(Q43="","",Q43-8)</f>
        <v/>
      </c>
      <c r="S43" s="6" t="s">
        <v>404</v>
      </c>
      <c r="T43" s="7">
        <v>0.29166666666666669</v>
      </c>
      <c r="U43" s="7">
        <v>0.72916666666666663</v>
      </c>
      <c r="V43" s="8">
        <v>9.5</v>
      </c>
      <c r="W43" s="9">
        <f>IF(V43="","",V43-8)</f>
        <v>1.5</v>
      </c>
      <c r="X43" s="11"/>
    </row>
    <row r="44" spans="2:24">
      <c r="B44" s="50" t="s">
        <v>401</v>
      </c>
      <c r="C44" s="50"/>
      <c r="D44" s="1"/>
      <c r="E44" s="1"/>
      <c r="F44" s="1"/>
      <c r="G44" s="1"/>
      <c r="H44" s="25">
        <f>SUM(SUMIF($B$9:$B$50,"Total hours",H$9:H$50),Config!H$18)</f>
        <v>168.5</v>
      </c>
      <c r="I44" s="1"/>
      <c r="J44" s="1"/>
      <c r="K44" s="1"/>
      <c r="L44" s="1"/>
      <c r="M44" s="25">
        <f>SUM(SUMIF($B$9:$B$50,"Total hours",M$9:M$50),Config!M$18)</f>
        <v>99</v>
      </c>
      <c r="N44" s="1"/>
      <c r="O44" s="1"/>
      <c r="P44" s="1"/>
      <c r="Q44" s="1"/>
      <c r="R44" s="25">
        <f>SUM(SUMIF($B$9:$B$50,"Total hours",R$9:R$50),Config!R$18)</f>
        <v>69.5</v>
      </c>
      <c r="S44" s="1"/>
      <c r="T44" s="1"/>
      <c r="U44" s="1"/>
      <c r="V44" s="1"/>
      <c r="W44" s="25">
        <f>SUM(SUMIF($B$9:$B$50,"Total hours",W$9:W$50),Config!W$18)</f>
        <v>15.5</v>
      </c>
      <c r="X44" s="26"/>
    </row>
    <row r="46" spans="2:24">
      <c r="B46" s="27" t="s">
        <v>379</v>
      </c>
      <c r="C46" s="28"/>
      <c r="D46" s="28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0"/>
      <c r="R46" s="30"/>
      <c r="S46" s="31"/>
    </row>
    <row r="47" spans="2:24">
      <c r="B47" s="32" t="s">
        <v>380</v>
      </c>
      <c r="C47" s="33" t="s">
        <v>381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8"/>
      <c r="C48" s="34" t="s">
        <v>382</v>
      </c>
      <c r="D48" s="39"/>
      <c r="E48" s="35" t="s">
        <v>383</v>
      </c>
      <c r="F48" s="35"/>
      <c r="G48" s="34"/>
      <c r="H48" s="34"/>
      <c r="I48" s="34" t="s">
        <v>384</v>
      </c>
      <c r="J48" s="39"/>
      <c r="K48" s="35" t="s">
        <v>385</v>
      </c>
      <c r="L48" s="34"/>
      <c r="M48" s="34"/>
      <c r="N48" s="34"/>
      <c r="O48" s="34" t="s">
        <v>386</v>
      </c>
      <c r="P48" s="34"/>
      <c r="Q48" s="36" t="s">
        <v>387</v>
      </c>
      <c r="R48" s="36"/>
      <c r="S48" s="37"/>
    </row>
    <row r="49" spans="2:19">
      <c r="B49" s="38"/>
      <c r="C49" s="44" t="s">
        <v>388</v>
      </c>
      <c r="D49" s="45"/>
      <c r="E49" s="45"/>
      <c r="F49" s="45"/>
      <c r="G49" s="45"/>
      <c r="H49" s="45"/>
      <c r="I49" s="45"/>
      <c r="J49" s="45"/>
      <c r="K49" s="34"/>
      <c r="L49" s="34"/>
      <c r="M49" s="34"/>
      <c r="N49" s="46"/>
      <c r="O49" s="34"/>
      <c r="P49" s="34"/>
      <c r="Q49" s="36"/>
      <c r="R49" s="36"/>
      <c r="S49" s="37"/>
    </row>
    <row r="50" spans="2:19">
      <c r="B50" s="32" t="s">
        <v>389</v>
      </c>
      <c r="C50" s="33" t="s">
        <v>390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7" t="s">
        <v>391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8" t="s">
        <v>392</v>
      </c>
      <c r="D52" s="34"/>
      <c r="E52" s="35"/>
      <c r="F52" s="35" t="s">
        <v>393</v>
      </c>
      <c r="G52" s="34"/>
      <c r="H52" s="34"/>
      <c r="I52" s="34" t="s">
        <v>394</v>
      </c>
      <c r="J52" s="34"/>
      <c r="K52" s="34"/>
      <c r="L52" s="34" t="s">
        <v>395</v>
      </c>
      <c r="M52" s="34"/>
      <c r="N52" s="34"/>
      <c r="O52" s="34"/>
      <c r="P52" s="34"/>
      <c r="Q52" s="36"/>
      <c r="R52" s="36"/>
      <c r="S52" s="37"/>
    </row>
    <row r="53" spans="2:19">
      <c r="B53" s="38"/>
      <c r="C53" s="34"/>
      <c r="D53" s="34"/>
      <c r="E53" s="35"/>
      <c r="F53" s="35" t="s">
        <v>396</v>
      </c>
      <c r="G53" s="34"/>
      <c r="H53" s="34"/>
      <c r="I53" s="34" t="s">
        <v>397</v>
      </c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32" t="s">
        <v>398</v>
      </c>
      <c r="C54" s="33" t="s">
        <v>399</v>
      </c>
      <c r="D54" s="34"/>
      <c r="E54" s="35"/>
      <c r="F54" s="35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40"/>
      <c r="C55" s="41" t="s">
        <v>400</v>
      </c>
      <c r="D55" s="41"/>
      <c r="E55" s="42"/>
      <c r="F55" s="42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3"/>
      <c r="R55" s="43"/>
      <c r="S55" s="49"/>
    </row>
  </sheetData>
  <mergeCells count="13">
    <mergeCell ref="X7:X8"/>
    <mergeCell ref="B4:X4"/>
    <mergeCell ref="B7:B8"/>
    <mergeCell ref="C7:C8"/>
    <mergeCell ref="D7:H7"/>
    <mergeCell ref="I7:M7"/>
    <mergeCell ref="N7:R7"/>
    <mergeCell ref="S7:W7"/>
    <mergeCell ref="B16:C16"/>
    <mergeCell ref="B24:C24"/>
    <mergeCell ref="B32:C32"/>
    <mergeCell ref="B40:C40"/>
    <mergeCell ref="B44:C44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2"/>
  <sheetViews>
    <sheetView tabSelected="1" topLeftCell="B21" zoomScale="85" zoomScaleNormal="85" workbookViewId="0">
      <selection activeCell="O52" sqref="O52"/>
    </sheetView>
  </sheetViews>
  <sheetFormatPr defaultRowHeight="15"/>
  <cols>
    <col min="2" max="2" width="9.7109375" bestFit="1" customWidth="1"/>
    <col min="24" max="24" width="18.28515625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43132</v>
      </c>
      <c r="C9" s="23" t="s">
        <v>20</v>
      </c>
      <c r="D9" s="6" t="s">
        <v>404</v>
      </c>
      <c r="E9" s="7">
        <v>0.35416666666666669</v>
      </c>
      <c r="F9" s="7">
        <v>0.72916666666666663</v>
      </c>
      <c r="G9" s="8">
        <v>8</v>
      </c>
      <c r="H9" s="9">
        <f>IF(G9="","",G9-8)</f>
        <v>0</v>
      </c>
      <c r="I9" s="10" t="s">
        <v>406</v>
      </c>
      <c r="J9" s="7" t="s">
        <v>412</v>
      </c>
      <c r="K9" s="7" t="s">
        <v>430</v>
      </c>
      <c r="L9" s="8">
        <v>7</v>
      </c>
      <c r="M9" s="9">
        <f>IF(L9="","",L9-8)</f>
        <v>-1</v>
      </c>
      <c r="N9" s="10"/>
      <c r="O9" s="7"/>
      <c r="P9" s="7"/>
      <c r="Q9" s="8"/>
      <c r="R9" s="9" t="str">
        <f>IF(Q9="","",Q9-8)</f>
        <v/>
      </c>
      <c r="S9" s="6" t="s">
        <v>404</v>
      </c>
      <c r="T9" s="7">
        <v>0.33333333333333331</v>
      </c>
      <c r="U9" s="7">
        <v>0.70833333333333337</v>
      </c>
      <c r="V9" s="8">
        <v>8</v>
      </c>
      <c r="W9" s="9">
        <f>IF(V9="","",V9-8)</f>
        <v>0</v>
      </c>
      <c r="X9" s="11"/>
    </row>
    <row r="10" spans="2:24">
      <c r="B10" s="5">
        <v>43133</v>
      </c>
      <c r="C10" s="23" t="s">
        <v>26</v>
      </c>
      <c r="D10" s="6" t="s">
        <v>404</v>
      </c>
      <c r="E10" s="7">
        <v>0.33333333333333331</v>
      </c>
      <c r="F10" s="7">
        <v>0.75</v>
      </c>
      <c r="G10" s="8">
        <v>9</v>
      </c>
      <c r="H10" s="9">
        <f>IF(G10="","",G10-8)</f>
        <v>1</v>
      </c>
      <c r="I10" s="10" t="s">
        <v>406</v>
      </c>
      <c r="J10" s="7" t="s">
        <v>407</v>
      </c>
      <c r="K10" s="7" t="s">
        <v>430</v>
      </c>
      <c r="L10" s="8">
        <v>9</v>
      </c>
      <c r="M10" s="9">
        <f>IF(L10="","",L10-8)</f>
        <v>1</v>
      </c>
      <c r="N10" s="10"/>
      <c r="O10" s="7"/>
      <c r="P10" s="7"/>
      <c r="Q10" s="8"/>
      <c r="R10" s="9" t="str">
        <f>IF(Q10="","",Q10-8)</f>
        <v/>
      </c>
      <c r="S10" s="6" t="s">
        <v>404</v>
      </c>
      <c r="T10" s="7">
        <v>0.33333333333333331</v>
      </c>
      <c r="U10" s="7">
        <v>0.75</v>
      </c>
      <c r="V10" s="8">
        <v>9</v>
      </c>
      <c r="W10" s="9">
        <f>IF(V10="","",V10-8)</f>
        <v>1</v>
      </c>
      <c r="X10" s="11"/>
    </row>
    <row r="11" spans="2:24">
      <c r="B11" s="12">
        <v>43134</v>
      </c>
      <c r="C11" s="24" t="s">
        <v>27</v>
      </c>
      <c r="D11" s="13"/>
      <c r="E11" s="14"/>
      <c r="F11" s="14"/>
      <c r="G11" s="15"/>
      <c r="H11" s="16"/>
      <c r="I11" s="13" t="s">
        <v>308</v>
      </c>
      <c r="J11" s="14"/>
      <c r="K11" s="14"/>
      <c r="L11" s="15"/>
      <c r="M11" s="16"/>
      <c r="N11" s="13"/>
      <c r="O11" s="14"/>
      <c r="P11" s="14"/>
      <c r="Q11" s="15"/>
      <c r="R11" s="16"/>
      <c r="S11" s="13"/>
      <c r="T11" s="14"/>
      <c r="U11" s="14"/>
      <c r="V11" s="15"/>
      <c r="W11" s="16"/>
      <c r="X11" s="17"/>
    </row>
    <row r="12" spans="2:24">
      <c r="B12" s="12">
        <v>43135</v>
      </c>
      <c r="C12" s="24" t="s">
        <v>25</v>
      </c>
      <c r="D12" s="13"/>
      <c r="E12" s="14"/>
      <c r="F12" s="14"/>
      <c r="G12" s="15"/>
      <c r="H12" s="16"/>
      <c r="I12" s="13"/>
      <c r="J12" s="14"/>
      <c r="K12" s="14"/>
      <c r="L12" s="15"/>
      <c r="M12" s="16"/>
      <c r="N12" s="13"/>
      <c r="O12" s="14"/>
      <c r="P12" s="14"/>
      <c r="Q12" s="15"/>
      <c r="R12" s="16"/>
      <c r="S12" s="13"/>
      <c r="T12" s="14"/>
      <c r="U12" s="14"/>
      <c r="V12" s="15"/>
      <c r="W12" s="16"/>
      <c r="X12" s="17"/>
    </row>
    <row r="13" spans="2:24">
      <c r="B13" s="51" t="s">
        <v>309</v>
      </c>
      <c r="C13" s="52"/>
      <c r="D13" s="18"/>
      <c r="E13" s="19"/>
      <c r="F13" s="19"/>
      <c r="G13" s="20"/>
      <c r="H13" s="21">
        <f>SUM(H$9:H12,'[1]2018.1'!H$41:H$43)</f>
        <v>2.5</v>
      </c>
      <c r="I13" s="18"/>
      <c r="J13" s="19"/>
      <c r="K13" s="19"/>
      <c r="L13" s="20"/>
      <c r="M13" s="21">
        <f>SUM(M$9:M12,'[1]2018.1'!M$41:M$43)</f>
        <v>2.5</v>
      </c>
      <c r="N13" s="18"/>
      <c r="O13" s="19"/>
      <c r="P13" s="19"/>
      <c r="Q13" s="20"/>
      <c r="R13" s="21">
        <f>SUM(R$9:R12,'[1]2018.1'!R$41:R$43)</f>
        <v>0</v>
      </c>
      <c r="S13" s="18"/>
      <c r="T13" s="19"/>
      <c r="U13" s="19"/>
      <c r="V13" s="20"/>
      <c r="W13" s="21">
        <f>SUM(W$9:W12,'[1]2018.1'!W$41:W$43)</f>
        <v>4</v>
      </c>
      <c r="X13" s="22"/>
    </row>
    <row r="14" spans="2:24">
      <c r="B14" s="5">
        <v>43136</v>
      </c>
      <c r="C14" s="23" t="s">
        <v>1</v>
      </c>
      <c r="D14" s="6" t="s">
        <v>406</v>
      </c>
      <c r="E14" s="7">
        <v>0.625</v>
      </c>
      <c r="F14" s="7">
        <v>4.1666666666666664E-2</v>
      </c>
      <c r="G14" s="8">
        <v>9</v>
      </c>
      <c r="H14" s="9">
        <f>IF(G14="","",G14-8)</f>
        <v>1</v>
      </c>
      <c r="I14" s="10" t="s">
        <v>404</v>
      </c>
      <c r="J14" s="7" t="s">
        <v>415</v>
      </c>
      <c r="K14" s="7" t="s">
        <v>417</v>
      </c>
      <c r="L14" s="8">
        <v>9</v>
      </c>
      <c r="M14" s="9">
        <f>IF(L14="","",L14-8)</f>
        <v>1</v>
      </c>
      <c r="N14" s="10"/>
      <c r="O14" s="7"/>
      <c r="P14" s="7"/>
      <c r="Q14" s="8"/>
      <c r="R14" s="9" t="str">
        <f>IF(Q14="","",Q14-8)</f>
        <v/>
      </c>
      <c r="S14" s="6" t="s">
        <v>406</v>
      </c>
      <c r="T14" s="7">
        <v>0.60416666666666663</v>
      </c>
      <c r="U14" s="7">
        <v>2.0833333333333332E-2</v>
      </c>
      <c r="V14" s="8">
        <v>9</v>
      </c>
      <c r="W14" s="9">
        <f>IF(V14="","",V14-8)</f>
        <v>1</v>
      </c>
      <c r="X14" s="11"/>
    </row>
    <row r="15" spans="2:24">
      <c r="B15" s="5">
        <v>43137</v>
      </c>
      <c r="C15" s="23" t="s">
        <v>29</v>
      </c>
      <c r="D15" s="6" t="s">
        <v>406</v>
      </c>
      <c r="E15" s="7">
        <v>0.5</v>
      </c>
      <c r="F15" s="7">
        <v>0.875</v>
      </c>
      <c r="G15" s="8">
        <v>8</v>
      </c>
      <c r="H15" s="9">
        <f>IF(G15="","",G15-8)</f>
        <v>0</v>
      </c>
      <c r="I15" s="10" t="s">
        <v>404</v>
      </c>
      <c r="J15" s="7" t="s">
        <v>415</v>
      </c>
      <c r="K15" s="7" t="s">
        <v>421</v>
      </c>
      <c r="L15" s="8">
        <v>8</v>
      </c>
      <c r="M15" s="9">
        <f>IF(L15="","",L15-8)</f>
        <v>0</v>
      </c>
      <c r="N15" s="10"/>
      <c r="O15" s="7"/>
      <c r="P15" s="7"/>
      <c r="Q15" s="8"/>
      <c r="R15" s="9" t="str">
        <f>IF(Q15="","",Q15-8)</f>
        <v/>
      </c>
      <c r="S15" s="6" t="s">
        <v>406</v>
      </c>
      <c r="T15" s="7">
        <v>0.52083333333333337</v>
      </c>
      <c r="U15" s="7">
        <v>0.89583333333333337</v>
      </c>
      <c r="V15" s="8">
        <v>8</v>
      </c>
      <c r="W15" s="9">
        <f>IF(V15="","",V15-8)</f>
        <v>0</v>
      </c>
      <c r="X15" s="11"/>
    </row>
    <row r="16" spans="2:24">
      <c r="B16" s="5">
        <v>43138</v>
      </c>
      <c r="C16" s="23" t="s">
        <v>30</v>
      </c>
      <c r="D16" s="6" t="s">
        <v>406</v>
      </c>
      <c r="E16" s="7">
        <v>0.41666666666666669</v>
      </c>
      <c r="F16" s="7">
        <v>0.70833333333333337</v>
      </c>
      <c r="G16" s="8">
        <v>6</v>
      </c>
      <c r="H16" s="9">
        <f>IF(G16="","",G16-8)</f>
        <v>-2</v>
      </c>
      <c r="I16" s="10" t="s">
        <v>409</v>
      </c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 t="s">
        <v>406</v>
      </c>
      <c r="T16" s="7">
        <v>0.33333333333333331</v>
      </c>
      <c r="U16" s="7">
        <v>0.79166666666666663</v>
      </c>
      <c r="V16" s="8">
        <v>10</v>
      </c>
      <c r="W16" s="9">
        <f>IF(V16="","",V16-8)</f>
        <v>2</v>
      </c>
      <c r="X16" s="11"/>
    </row>
    <row r="17" spans="2:24">
      <c r="B17" s="5">
        <v>43139</v>
      </c>
      <c r="C17" s="23" t="s">
        <v>31</v>
      </c>
      <c r="D17" s="6" t="s">
        <v>406</v>
      </c>
      <c r="E17" s="7">
        <v>0.625</v>
      </c>
      <c r="F17" s="7">
        <v>0</v>
      </c>
      <c r="G17" s="8">
        <v>8</v>
      </c>
      <c r="H17" s="9">
        <f>IF(G17="","",G17-8)</f>
        <v>0</v>
      </c>
      <c r="I17" s="10" t="s">
        <v>404</v>
      </c>
      <c r="J17" s="7" t="s">
        <v>415</v>
      </c>
      <c r="K17" s="7" t="s">
        <v>416</v>
      </c>
      <c r="L17" s="8">
        <v>8.5</v>
      </c>
      <c r="M17" s="9">
        <f>IF(L17="","",L17-8)</f>
        <v>0.5</v>
      </c>
      <c r="N17" s="10"/>
      <c r="O17" s="7"/>
      <c r="P17" s="7"/>
      <c r="Q17" s="8"/>
      <c r="R17" s="9" t="str">
        <f>IF(Q17="","",Q17-8)</f>
        <v/>
      </c>
      <c r="S17" s="6" t="s">
        <v>406</v>
      </c>
      <c r="T17" s="7">
        <v>0.60416666666666663</v>
      </c>
      <c r="U17" s="7">
        <v>0</v>
      </c>
      <c r="V17" s="8">
        <v>8.5</v>
      </c>
      <c r="W17" s="9">
        <f>IF(V17="","",V17-8)</f>
        <v>0.5</v>
      </c>
      <c r="X17" s="11"/>
    </row>
    <row r="18" spans="2:24">
      <c r="B18" s="5">
        <v>43140</v>
      </c>
      <c r="C18" s="23" t="s">
        <v>32</v>
      </c>
      <c r="D18" s="6" t="s">
        <v>406</v>
      </c>
      <c r="E18" s="7">
        <v>0.5</v>
      </c>
      <c r="F18" s="7">
        <v>0.875</v>
      </c>
      <c r="G18" s="8">
        <v>8</v>
      </c>
      <c r="H18" s="9">
        <f>IF(G18="","",G18-8)</f>
        <v>0</v>
      </c>
      <c r="I18" s="10" t="s">
        <v>404</v>
      </c>
      <c r="J18" s="7" t="s">
        <v>415</v>
      </c>
      <c r="K18" s="7">
        <v>17</v>
      </c>
      <c r="L18" s="8"/>
      <c r="M18" s="9" t="str">
        <f>IF(L18="","",L18-8)</f>
        <v/>
      </c>
      <c r="N18" s="10"/>
      <c r="O18" s="7"/>
      <c r="P18" s="7"/>
      <c r="Q18" s="8"/>
      <c r="R18" s="9" t="str">
        <f>IF(Q18="","",Q18-8)</f>
        <v/>
      </c>
      <c r="S18" s="6" t="s">
        <v>406</v>
      </c>
      <c r="T18" s="7">
        <v>0.52083333333333337</v>
      </c>
      <c r="U18" s="7">
        <v>0.875</v>
      </c>
      <c r="V18" s="8">
        <v>7.5</v>
      </c>
      <c r="W18" s="9">
        <f>IF(V18="","",V18-8)</f>
        <v>-0.5</v>
      </c>
      <c r="X18" s="11"/>
    </row>
    <row r="19" spans="2:24">
      <c r="B19" s="12">
        <v>43141</v>
      </c>
      <c r="C19" s="24" t="s">
        <v>33</v>
      </c>
      <c r="D19" s="13"/>
      <c r="E19" s="14"/>
      <c r="F19" s="14"/>
      <c r="G19" s="15"/>
      <c r="H19" s="16"/>
      <c r="I19" s="13"/>
      <c r="J19" s="14"/>
      <c r="K19" s="14"/>
      <c r="L19" s="15"/>
      <c r="M19" s="16"/>
      <c r="N19" s="13"/>
      <c r="O19" s="14"/>
      <c r="P19" s="14"/>
      <c r="Q19" s="15"/>
      <c r="R19" s="16"/>
      <c r="S19" s="13" t="s">
        <v>308</v>
      </c>
      <c r="T19" s="14">
        <v>0.3125</v>
      </c>
      <c r="U19" s="14">
        <v>0.79166666666666663</v>
      </c>
      <c r="V19" s="15"/>
      <c r="W19" s="16"/>
      <c r="X19" s="17"/>
    </row>
    <row r="20" spans="2:24">
      <c r="B20" s="12">
        <v>43142</v>
      </c>
      <c r="C20" s="24" t="s">
        <v>28</v>
      </c>
      <c r="D20" s="13" t="s">
        <v>308</v>
      </c>
      <c r="E20" s="14"/>
      <c r="F20" s="14"/>
      <c r="G20" s="15">
        <v>5</v>
      </c>
      <c r="H20" s="16">
        <v>-3</v>
      </c>
      <c r="I20" s="13"/>
      <c r="J20" s="14"/>
      <c r="K20" s="14"/>
      <c r="L20" s="15"/>
      <c r="M20" s="16">
        <v>-8</v>
      </c>
      <c r="N20" s="13"/>
      <c r="O20" s="14"/>
      <c r="P20" s="14"/>
      <c r="Q20" s="15"/>
      <c r="R20" s="16">
        <v>-8</v>
      </c>
      <c r="S20" s="13"/>
      <c r="T20" s="14"/>
      <c r="U20" s="14"/>
      <c r="V20" s="15"/>
      <c r="W20" s="16">
        <v>-8</v>
      </c>
      <c r="X20" s="17"/>
    </row>
    <row r="21" spans="2:24">
      <c r="B21" s="51" t="s">
        <v>309</v>
      </c>
      <c r="C21" s="52"/>
      <c r="D21" s="18"/>
      <c r="E21" s="19"/>
      <c r="F21" s="19"/>
      <c r="G21" s="20"/>
      <c r="H21" s="21">
        <f>SUM(H14:H20)</f>
        <v>-4</v>
      </c>
      <c r="I21" s="18"/>
      <c r="J21" s="19"/>
      <c r="K21" s="19"/>
      <c r="L21" s="20"/>
      <c r="M21" s="21">
        <f>SUM(M14:M20)</f>
        <v>-6.5</v>
      </c>
      <c r="N21" s="18"/>
      <c r="O21" s="19"/>
      <c r="P21" s="19"/>
      <c r="Q21" s="20"/>
      <c r="R21" s="21">
        <f>SUM(R14:R20)</f>
        <v>-8</v>
      </c>
      <c r="S21" s="18"/>
      <c r="T21" s="19"/>
      <c r="U21" s="19"/>
      <c r="V21" s="20"/>
      <c r="W21" s="21">
        <f>SUM(W14:W20)</f>
        <v>-5</v>
      </c>
      <c r="X21" s="22"/>
    </row>
    <row r="22" spans="2:24">
      <c r="B22" s="5">
        <v>43143</v>
      </c>
      <c r="C22" s="23" t="s">
        <v>35</v>
      </c>
      <c r="D22" s="6" t="s">
        <v>404</v>
      </c>
      <c r="E22" s="7" t="s">
        <v>415</v>
      </c>
      <c r="F22" s="7" t="s">
        <v>421</v>
      </c>
      <c r="G22" s="8">
        <v>8</v>
      </c>
      <c r="H22" s="9">
        <f>IF(G22="","",G22-8)</f>
        <v>0</v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43144</v>
      </c>
      <c r="C23" s="23" t="s">
        <v>36</v>
      </c>
      <c r="D23" s="6" t="s">
        <v>404</v>
      </c>
      <c r="E23" s="7" t="s">
        <v>415</v>
      </c>
      <c r="F23" s="7" t="s">
        <v>431</v>
      </c>
      <c r="G23" s="8">
        <v>7</v>
      </c>
      <c r="H23" s="9">
        <f>IF(G23="","",G23-8)</f>
        <v>-1</v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5">
        <v>43145</v>
      </c>
      <c r="C24" s="23" t="s">
        <v>37</v>
      </c>
      <c r="D24" s="6" t="s">
        <v>404</v>
      </c>
      <c r="E24" s="7" t="s">
        <v>415</v>
      </c>
      <c r="F24" s="7" t="s">
        <v>421</v>
      </c>
      <c r="G24" s="8">
        <v>8</v>
      </c>
      <c r="H24" s="9">
        <f>IF(G24="","",G24-8)</f>
        <v>0</v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5">
        <v>43146</v>
      </c>
      <c r="C25" s="23" t="s">
        <v>38</v>
      </c>
      <c r="D25" s="6" t="s">
        <v>403</v>
      </c>
      <c r="E25" s="7"/>
      <c r="F25" s="7"/>
      <c r="G25" s="8"/>
      <c r="H25" s="9" t="str">
        <f>IF(G25="","",G25-8)</f>
        <v/>
      </c>
      <c r="I25" s="10"/>
      <c r="J25" s="7"/>
      <c r="K25" s="7"/>
      <c r="L25" s="8"/>
      <c r="M25" s="9" t="str">
        <f>IF(L25="","",L25-8)</f>
        <v/>
      </c>
      <c r="N25" s="10"/>
      <c r="O25" s="7"/>
      <c r="P25" s="7"/>
      <c r="Q25" s="8"/>
      <c r="R25" s="9" t="str">
        <f>IF(Q25="","",Q25-8)</f>
        <v/>
      </c>
      <c r="S25" s="6"/>
      <c r="T25" s="7"/>
      <c r="U25" s="7"/>
      <c r="V25" s="8"/>
      <c r="W25" s="9" t="str">
        <f>IF(V25="","",V25-8)</f>
        <v/>
      </c>
      <c r="X25" s="11"/>
    </row>
    <row r="26" spans="2:24">
      <c r="B26" s="5">
        <v>43147</v>
      </c>
      <c r="C26" s="23" t="s">
        <v>39</v>
      </c>
      <c r="D26" s="6" t="s">
        <v>403</v>
      </c>
      <c r="E26" s="7"/>
      <c r="F26" s="7"/>
      <c r="G26" s="8"/>
      <c r="H26" s="9" t="str">
        <f>IF(G26="","",G26-8)</f>
        <v/>
      </c>
      <c r="I26" s="10"/>
      <c r="J26" s="7"/>
      <c r="K26" s="7"/>
      <c r="L26" s="8"/>
      <c r="M26" s="9" t="str">
        <f>IF(L26="","",L26-8)</f>
        <v/>
      </c>
      <c r="N26" s="10"/>
      <c r="O26" s="7"/>
      <c r="P26" s="7"/>
      <c r="Q26" s="8"/>
      <c r="R26" s="9" t="str">
        <f>IF(Q26="","",Q26-8)</f>
        <v/>
      </c>
      <c r="S26" s="6"/>
      <c r="T26" s="7"/>
      <c r="U26" s="7"/>
      <c r="V26" s="8"/>
      <c r="W26" s="9" t="str">
        <f>IF(V26="","",V26-8)</f>
        <v/>
      </c>
      <c r="X26" s="11"/>
    </row>
    <row r="27" spans="2:24">
      <c r="B27" s="12">
        <v>43148</v>
      </c>
      <c r="C27" s="24" t="s">
        <v>40</v>
      </c>
      <c r="D27" s="13"/>
      <c r="E27" s="14"/>
      <c r="F27" s="14"/>
      <c r="G27" s="15"/>
      <c r="H27" s="16"/>
      <c r="I27" s="13"/>
      <c r="J27" s="14"/>
      <c r="K27" s="14"/>
      <c r="L27" s="15"/>
      <c r="M27" s="16"/>
      <c r="N27" s="13"/>
      <c r="O27" s="14"/>
      <c r="P27" s="14"/>
      <c r="Q27" s="15"/>
      <c r="R27" s="16"/>
      <c r="S27" s="13"/>
      <c r="T27" s="14"/>
      <c r="U27" s="14"/>
      <c r="V27" s="15"/>
      <c r="W27" s="16"/>
      <c r="X27" s="17"/>
    </row>
    <row r="28" spans="2:24">
      <c r="B28" s="12">
        <v>43149</v>
      </c>
      <c r="C28" s="24" t="s">
        <v>34</v>
      </c>
      <c r="D28" s="13"/>
      <c r="E28" s="14"/>
      <c r="F28" s="14"/>
      <c r="G28" s="15"/>
      <c r="H28" s="16"/>
      <c r="I28" s="13"/>
      <c r="J28" s="14"/>
      <c r="K28" s="14"/>
      <c r="L28" s="15"/>
      <c r="M28" s="16"/>
      <c r="N28" s="13"/>
      <c r="O28" s="14"/>
      <c r="P28" s="14"/>
      <c r="Q28" s="15"/>
      <c r="R28" s="16"/>
      <c r="S28" s="13"/>
      <c r="T28" s="14"/>
      <c r="U28" s="14"/>
      <c r="V28" s="15"/>
      <c r="W28" s="16"/>
      <c r="X28" s="17"/>
    </row>
    <row r="29" spans="2:24">
      <c r="B29" s="51" t="s">
        <v>309</v>
      </c>
      <c r="C29" s="52"/>
      <c r="D29" s="18"/>
      <c r="E29" s="19"/>
      <c r="F29" s="19"/>
      <c r="G29" s="20"/>
      <c r="H29" s="21">
        <f>SUM(H22:H28)</f>
        <v>-1</v>
      </c>
      <c r="I29" s="18"/>
      <c r="J29" s="19"/>
      <c r="K29" s="19"/>
      <c r="L29" s="20"/>
      <c r="M29" s="21">
        <f>SUM(M22:M28)</f>
        <v>0</v>
      </c>
      <c r="N29" s="18"/>
      <c r="O29" s="19"/>
      <c r="P29" s="19"/>
      <c r="Q29" s="20"/>
      <c r="R29" s="21">
        <f>SUM(R22:R28)</f>
        <v>0</v>
      </c>
      <c r="S29" s="18"/>
      <c r="T29" s="19"/>
      <c r="U29" s="19"/>
      <c r="V29" s="20"/>
      <c r="W29" s="21">
        <f>SUM(W22:W28)</f>
        <v>0</v>
      </c>
      <c r="X29" s="22"/>
    </row>
    <row r="30" spans="2:24">
      <c r="B30" s="5">
        <v>43150</v>
      </c>
      <c r="C30" s="23" t="s">
        <v>42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43151</v>
      </c>
      <c r="C31" s="23" t="s">
        <v>43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5">
        <v>43152</v>
      </c>
      <c r="C32" s="23" t="s">
        <v>44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5">
        <v>43153</v>
      </c>
      <c r="C33" s="23" t="s">
        <v>45</v>
      </c>
      <c r="D33" s="6"/>
      <c r="E33" s="7"/>
      <c r="F33" s="7"/>
      <c r="G33" s="8"/>
      <c r="H33" s="9" t="str">
        <f>IF(G33="","",G33-8)</f>
        <v/>
      </c>
      <c r="I33" s="10"/>
      <c r="J33" s="7"/>
      <c r="K33" s="7"/>
      <c r="L33" s="8"/>
      <c r="M33" s="9" t="str">
        <f>IF(L33="","",L33-8)</f>
        <v/>
      </c>
      <c r="N33" s="10"/>
      <c r="O33" s="7"/>
      <c r="P33" s="7"/>
      <c r="Q33" s="8"/>
      <c r="R33" s="9" t="str">
        <f>IF(Q33="","",Q33-8)</f>
        <v/>
      </c>
      <c r="S33" s="6"/>
      <c r="T33" s="7"/>
      <c r="U33" s="7"/>
      <c r="V33" s="8"/>
      <c r="W33" s="9" t="str">
        <f>IF(V33="","",V33-8)</f>
        <v/>
      </c>
      <c r="X33" s="11"/>
    </row>
    <row r="34" spans="2:24">
      <c r="B34" s="5">
        <v>43154</v>
      </c>
      <c r="C34" s="23" t="s">
        <v>46</v>
      </c>
      <c r="D34" s="6"/>
      <c r="E34" s="7"/>
      <c r="F34" s="7"/>
      <c r="G34" s="8"/>
      <c r="H34" s="9" t="str">
        <f>IF(G34="","",G34-8)</f>
        <v/>
      </c>
      <c r="I34" s="10"/>
      <c r="J34" s="7"/>
      <c r="K34" s="7"/>
      <c r="L34" s="8"/>
      <c r="M34" s="9" t="str">
        <f>IF(L34="","",L34-8)</f>
        <v/>
      </c>
      <c r="N34" s="10"/>
      <c r="O34" s="7"/>
      <c r="P34" s="7"/>
      <c r="Q34" s="8"/>
      <c r="R34" s="9" t="str">
        <f>IF(Q34="","",Q34-8)</f>
        <v/>
      </c>
      <c r="S34" s="6"/>
      <c r="T34" s="7"/>
      <c r="U34" s="7"/>
      <c r="V34" s="8"/>
      <c r="W34" s="9" t="str">
        <f>IF(V34="","",V34-8)</f>
        <v/>
      </c>
      <c r="X34" s="11"/>
    </row>
    <row r="35" spans="2:24">
      <c r="B35" s="12">
        <v>43155</v>
      </c>
      <c r="C35" s="24" t="s">
        <v>47</v>
      </c>
      <c r="D35" s="13"/>
      <c r="E35" s="14"/>
      <c r="F35" s="14"/>
      <c r="G35" s="15"/>
      <c r="H35" s="16"/>
      <c r="I35" s="13"/>
      <c r="J35" s="14"/>
      <c r="K35" s="14"/>
      <c r="L35" s="15"/>
      <c r="M35" s="16"/>
      <c r="N35" s="13"/>
      <c r="O35" s="14"/>
      <c r="P35" s="14"/>
      <c r="Q35" s="15"/>
      <c r="R35" s="16"/>
      <c r="S35" s="13"/>
      <c r="T35" s="14"/>
      <c r="U35" s="14"/>
      <c r="V35" s="15"/>
      <c r="W35" s="16"/>
      <c r="X35" s="17"/>
    </row>
    <row r="36" spans="2:24">
      <c r="B36" s="12">
        <v>43156</v>
      </c>
      <c r="C36" s="24" t="s">
        <v>41</v>
      </c>
      <c r="D36" s="13"/>
      <c r="E36" s="14"/>
      <c r="F36" s="14"/>
      <c r="G36" s="15"/>
      <c r="H36" s="16"/>
      <c r="I36" s="13"/>
      <c r="J36" s="14"/>
      <c r="K36" s="14"/>
      <c r="L36" s="15"/>
      <c r="M36" s="16"/>
      <c r="N36" s="13"/>
      <c r="O36" s="14"/>
      <c r="P36" s="14"/>
      <c r="Q36" s="15"/>
      <c r="R36" s="16"/>
      <c r="S36" s="13"/>
      <c r="T36" s="14"/>
      <c r="U36" s="14"/>
      <c r="V36" s="15"/>
      <c r="W36" s="16"/>
      <c r="X36" s="17"/>
    </row>
    <row r="37" spans="2:24">
      <c r="B37" s="51" t="s">
        <v>309</v>
      </c>
      <c r="C37" s="52"/>
      <c r="D37" s="18"/>
      <c r="E37" s="19"/>
      <c r="F37" s="19"/>
      <c r="G37" s="20"/>
      <c r="H37" s="21">
        <f>SUM(H30:H36)</f>
        <v>0</v>
      </c>
      <c r="I37" s="18"/>
      <c r="J37" s="19"/>
      <c r="K37" s="19"/>
      <c r="L37" s="20"/>
      <c r="M37" s="21">
        <f>SUM(M30:M36)</f>
        <v>0</v>
      </c>
      <c r="N37" s="18"/>
      <c r="O37" s="19"/>
      <c r="P37" s="19"/>
      <c r="Q37" s="20"/>
      <c r="R37" s="21">
        <f>SUM(R30:R36)</f>
        <v>0</v>
      </c>
      <c r="S37" s="18"/>
      <c r="T37" s="19"/>
      <c r="U37" s="19"/>
      <c r="V37" s="20"/>
      <c r="W37" s="21">
        <f>SUM(W30:W36)</f>
        <v>0</v>
      </c>
      <c r="X37" s="22"/>
    </row>
    <row r="38" spans="2:24">
      <c r="B38" s="5">
        <v>43157</v>
      </c>
      <c r="C38" s="23" t="s">
        <v>48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43158</v>
      </c>
      <c r="C39" s="23" t="s">
        <v>49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5">
        <v>43159</v>
      </c>
      <c r="C40" s="23" t="s">
        <v>311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50" t="s">
        <v>401</v>
      </c>
      <c r="C41" s="50"/>
      <c r="D41" s="1"/>
      <c r="E41" s="1"/>
      <c r="F41" s="1"/>
      <c r="G41" s="1"/>
      <c r="H41" s="25">
        <f>SUM(SUMIF($B$9:$B$50,"Total hours",H$9:H$50),'2018.1'!H$44:H$44)</f>
        <v>166</v>
      </c>
      <c r="I41" s="1"/>
      <c r="J41" s="1"/>
      <c r="K41" s="1"/>
      <c r="L41" s="1"/>
      <c r="M41" s="25">
        <f>SUM(SUMIF($B$9:$B$50,"Total hours",M$9:M$50),'2018.1'!M$44:M$44)</f>
        <v>95</v>
      </c>
      <c r="N41" s="1"/>
      <c r="O41" s="1"/>
      <c r="P41" s="1"/>
      <c r="Q41" s="1"/>
      <c r="R41" s="25">
        <f>SUM(SUMIF($B$9:$B$50,"Total hours",R$9:R$50),'2018.1'!R$44:R$44)</f>
        <v>61.5</v>
      </c>
      <c r="S41" s="1"/>
      <c r="T41" s="1"/>
      <c r="U41" s="1"/>
      <c r="V41" s="1"/>
      <c r="W41" s="25">
        <f>SUM(SUMIF($B$9:$B$50,"Total hours",W$9:W$50),'2018.1'!W$44:W$44)</f>
        <v>14.5</v>
      </c>
      <c r="X41" s="26"/>
    </row>
    <row r="43" spans="2:24">
      <c r="B43" s="27" t="s">
        <v>379</v>
      </c>
      <c r="C43" s="28"/>
      <c r="D43" s="28"/>
      <c r="E43" s="29"/>
      <c r="F43" s="29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30"/>
      <c r="R43" s="30"/>
      <c r="S43" s="31"/>
    </row>
    <row r="44" spans="2:24">
      <c r="B44" s="32" t="s">
        <v>380</v>
      </c>
      <c r="C44" s="33" t="s">
        <v>381</v>
      </c>
      <c r="D44" s="34"/>
      <c r="E44" s="35"/>
      <c r="F44" s="35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6"/>
      <c r="R44" s="36"/>
      <c r="S44" s="37"/>
    </row>
    <row r="45" spans="2:24">
      <c r="B45" s="38"/>
      <c r="C45" s="34" t="s">
        <v>382</v>
      </c>
      <c r="D45" s="39"/>
      <c r="E45" s="35" t="s">
        <v>383</v>
      </c>
      <c r="F45" s="35"/>
      <c r="G45" s="34"/>
      <c r="H45" s="34"/>
      <c r="I45" s="34" t="s">
        <v>384</v>
      </c>
      <c r="J45" s="39"/>
      <c r="K45" s="35" t="s">
        <v>385</v>
      </c>
      <c r="L45" s="34"/>
      <c r="M45" s="34"/>
      <c r="N45" s="34"/>
      <c r="O45" s="34" t="s">
        <v>386</v>
      </c>
      <c r="P45" s="34"/>
      <c r="Q45" s="36" t="s">
        <v>387</v>
      </c>
      <c r="R45" s="36"/>
      <c r="S45" s="37"/>
    </row>
    <row r="46" spans="2:24">
      <c r="B46" s="38"/>
      <c r="C46" s="44" t="s">
        <v>388</v>
      </c>
      <c r="D46" s="45"/>
      <c r="E46" s="45"/>
      <c r="F46" s="45"/>
      <c r="G46" s="45"/>
      <c r="H46" s="45"/>
      <c r="I46" s="45"/>
      <c r="J46" s="45"/>
      <c r="K46" s="34"/>
      <c r="L46" s="34"/>
      <c r="M46" s="34"/>
      <c r="N46" s="46"/>
      <c r="O46" s="34"/>
      <c r="P46" s="34"/>
      <c r="Q46" s="36"/>
      <c r="R46" s="36"/>
      <c r="S46" s="37"/>
    </row>
    <row r="47" spans="2:24">
      <c r="B47" s="32" t="s">
        <v>389</v>
      </c>
      <c r="C47" s="33" t="s">
        <v>390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2"/>
      <c r="C48" s="47" t="s">
        <v>391</v>
      </c>
      <c r="D48" s="34"/>
      <c r="E48" s="35"/>
      <c r="F48" s="35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6"/>
      <c r="R48" s="36"/>
      <c r="S48" s="37"/>
    </row>
    <row r="49" spans="2:19">
      <c r="B49" s="32"/>
      <c r="C49" s="48" t="s">
        <v>392</v>
      </c>
      <c r="D49" s="34"/>
      <c r="E49" s="35"/>
      <c r="F49" s="35" t="s">
        <v>393</v>
      </c>
      <c r="G49" s="34"/>
      <c r="H49" s="34"/>
      <c r="I49" s="34" t="s">
        <v>394</v>
      </c>
      <c r="J49" s="34"/>
      <c r="K49" s="34"/>
      <c r="L49" s="34" t="s">
        <v>395</v>
      </c>
      <c r="M49" s="34"/>
      <c r="N49" s="34"/>
      <c r="O49" s="34"/>
      <c r="P49" s="34"/>
      <c r="Q49" s="36"/>
      <c r="R49" s="36"/>
      <c r="S49" s="37"/>
    </row>
    <row r="50" spans="2:19">
      <c r="B50" s="38"/>
      <c r="C50" s="34"/>
      <c r="D50" s="34"/>
      <c r="E50" s="35"/>
      <c r="F50" s="35" t="s">
        <v>396</v>
      </c>
      <c r="G50" s="34"/>
      <c r="H50" s="34"/>
      <c r="I50" s="34" t="s">
        <v>397</v>
      </c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 t="s">
        <v>398</v>
      </c>
      <c r="C51" s="33" t="s">
        <v>399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40"/>
      <c r="C52" s="41" t="s">
        <v>400</v>
      </c>
      <c r="D52" s="41"/>
      <c r="E52" s="42"/>
      <c r="F52" s="42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3"/>
      <c r="R52" s="43"/>
      <c r="S52" s="49"/>
    </row>
  </sheetData>
  <mergeCells count="13">
    <mergeCell ref="X7:X8"/>
    <mergeCell ref="B4:X4"/>
    <mergeCell ref="B7:B8"/>
    <mergeCell ref="C7:C8"/>
    <mergeCell ref="D7:H7"/>
    <mergeCell ref="I7:M7"/>
    <mergeCell ref="N7:R7"/>
    <mergeCell ref="S7:W7"/>
    <mergeCell ref="B13:C13"/>
    <mergeCell ref="B21:C21"/>
    <mergeCell ref="B29:C29"/>
    <mergeCell ref="B37:C37"/>
    <mergeCell ref="B41:C4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X55"/>
  <sheetViews>
    <sheetView topLeftCell="A31" zoomScale="85" zoomScaleNormal="85" workbookViewId="0">
      <selection activeCell="H44" sqref="H44"/>
    </sheetView>
  </sheetViews>
  <sheetFormatPr defaultRowHeight="15"/>
  <cols>
    <col min="2" max="2" width="9.7109375" bestFit="1" customWidth="1"/>
    <col min="24" max="24" width="18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43160</v>
      </c>
      <c r="C9" s="23" t="s">
        <v>312</v>
      </c>
      <c r="D9" s="6"/>
      <c r="E9" s="7"/>
      <c r="F9" s="7"/>
      <c r="G9" s="8"/>
      <c r="H9" s="9" t="str">
        <f>IF(G9="","",G9-8)</f>
        <v/>
      </c>
      <c r="I9" s="10"/>
      <c r="J9" s="7"/>
      <c r="K9" s="7"/>
      <c r="L9" s="8"/>
      <c r="M9" s="9" t="str">
        <f>IF(L9="","",L9-8)</f>
        <v/>
      </c>
      <c r="N9" s="10"/>
      <c r="O9" s="7"/>
      <c r="P9" s="7"/>
      <c r="Q9" s="8"/>
      <c r="R9" s="9" t="str">
        <f>IF(Q9="","",Q9-8)</f>
        <v/>
      </c>
      <c r="S9" s="6"/>
      <c r="T9" s="7"/>
      <c r="U9" s="7"/>
      <c r="V9" s="8"/>
      <c r="W9" s="9" t="str">
        <f>IF(V9="","",V9-8)</f>
        <v/>
      </c>
      <c r="X9" s="11"/>
    </row>
    <row r="10" spans="2:24">
      <c r="B10" s="5">
        <v>43161</v>
      </c>
      <c r="C10" s="23" t="s">
        <v>313</v>
      </c>
      <c r="D10" s="6"/>
      <c r="E10" s="7"/>
      <c r="F10" s="7"/>
      <c r="G10" s="8"/>
      <c r="H10" s="9" t="str">
        <f>IF(G10="","",G10-8)</f>
        <v/>
      </c>
      <c r="I10" s="10"/>
      <c r="J10" s="7"/>
      <c r="K10" s="7"/>
      <c r="L10" s="8"/>
      <c r="M10" s="9" t="str">
        <f>IF(L10="","",L10-8)</f>
        <v/>
      </c>
      <c r="N10" s="10"/>
      <c r="O10" s="7"/>
      <c r="P10" s="7"/>
      <c r="Q10" s="8"/>
      <c r="R10" s="9" t="str">
        <f>IF(Q10="","",Q10-8)</f>
        <v/>
      </c>
      <c r="S10" s="6"/>
      <c r="T10" s="7"/>
      <c r="U10" s="7"/>
      <c r="V10" s="8"/>
      <c r="W10" s="9" t="str">
        <f>IF(V10="","",V10-8)</f>
        <v/>
      </c>
      <c r="X10" s="11"/>
    </row>
    <row r="11" spans="2:24">
      <c r="B11" s="12">
        <v>43162</v>
      </c>
      <c r="C11" s="24" t="s">
        <v>314</v>
      </c>
      <c r="D11" s="13"/>
      <c r="E11" s="14"/>
      <c r="F11" s="14"/>
      <c r="G11" s="15"/>
      <c r="H11" s="16"/>
      <c r="I11" s="13"/>
      <c r="J11" s="14"/>
      <c r="K11" s="14"/>
      <c r="L11" s="15"/>
      <c r="M11" s="16"/>
      <c r="N11" s="13"/>
      <c r="O11" s="14"/>
      <c r="P11" s="14"/>
      <c r="Q11" s="15"/>
      <c r="R11" s="16"/>
      <c r="S11" s="13"/>
      <c r="T11" s="14"/>
      <c r="U11" s="14"/>
      <c r="V11" s="15"/>
      <c r="W11" s="16"/>
      <c r="X11" s="17"/>
    </row>
    <row r="12" spans="2:24">
      <c r="B12" s="12">
        <v>43163</v>
      </c>
      <c r="C12" s="24" t="s">
        <v>315</v>
      </c>
      <c r="D12" s="13"/>
      <c r="E12" s="14"/>
      <c r="F12" s="14"/>
      <c r="G12" s="15"/>
      <c r="H12" s="16"/>
      <c r="I12" s="13"/>
      <c r="J12" s="14"/>
      <c r="K12" s="14"/>
      <c r="L12" s="15"/>
      <c r="M12" s="16"/>
      <c r="N12" s="13"/>
      <c r="O12" s="14"/>
      <c r="P12" s="14"/>
      <c r="Q12" s="15"/>
      <c r="R12" s="16"/>
      <c r="S12" s="13"/>
      <c r="T12" s="14"/>
      <c r="U12" s="14"/>
      <c r="V12" s="15"/>
      <c r="W12" s="16"/>
      <c r="X12" s="17"/>
    </row>
    <row r="13" spans="2:24">
      <c r="B13" s="51" t="s">
        <v>309</v>
      </c>
      <c r="C13" s="52"/>
      <c r="D13" s="18"/>
      <c r="E13" s="19"/>
      <c r="F13" s="19"/>
      <c r="G13" s="20"/>
      <c r="H13" s="21">
        <f>SUM(H$9:H12,'2018.2'!H$38:H$40)</f>
        <v>0</v>
      </c>
      <c r="I13" s="18"/>
      <c r="J13" s="19"/>
      <c r="K13" s="19"/>
      <c r="L13" s="20"/>
      <c r="M13" s="21">
        <f>SUM(M$9:M12,'2018.2'!M$38:M$40)</f>
        <v>0</v>
      </c>
      <c r="N13" s="18"/>
      <c r="O13" s="19"/>
      <c r="P13" s="19"/>
      <c r="Q13" s="20"/>
      <c r="R13" s="21">
        <f>SUM(R$9:R12,'2018.2'!R$38:R$40)</f>
        <v>0</v>
      </c>
      <c r="S13" s="18"/>
      <c r="T13" s="19"/>
      <c r="U13" s="19"/>
      <c r="V13" s="20"/>
      <c r="W13" s="21">
        <f>SUM(W$9:W12,'2018.2'!W$38:W$40)</f>
        <v>0</v>
      </c>
      <c r="X13" s="22"/>
    </row>
    <row r="14" spans="2:24">
      <c r="B14" s="5">
        <v>43164</v>
      </c>
      <c r="C14" s="23" t="s">
        <v>316</v>
      </c>
      <c r="D14" s="6"/>
      <c r="E14" s="7"/>
      <c r="F14" s="7"/>
      <c r="G14" s="8"/>
      <c r="H14" s="9" t="str">
        <f>IF(G14="","",G14-8)</f>
        <v/>
      </c>
      <c r="I14" s="10"/>
      <c r="J14" s="7"/>
      <c r="K14" s="7"/>
      <c r="L14" s="8"/>
      <c r="M14" s="9" t="str">
        <f>IF(L14="","",L14-8)</f>
        <v/>
      </c>
      <c r="N14" s="10"/>
      <c r="O14" s="7"/>
      <c r="P14" s="7"/>
      <c r="Q14" s="8"/>
      <c r="R14" s="9" t="str">
        <f>IF(Q14="","",Q14-8)</f>
        <v/>
      </c>
      <c r="S14" s="6"/>
      <c r="T14" s="7"/>
      <c r="U14" s="7"/>
      <c r="V14" s="8"/>
      <c r="W14" s="9" t="str">
        <f>IF(V14="","",V14-8)</f>
        <v/>
      </c>
      <c r="X14" s="11"/>
    </row>
    <row r="15" spans="2:24">
      <c r="B15" s="5">
        <v>43165</v>
      </c>
      <c r="C15" s="23" t="s">
        <v>317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5">
        <v>43166</v>
      </c>
      <c r="C16" s="23" t="s">
        <v>318</v>
      </c>
      <c r="D16" s="6"/>
      <c r="E16" s="7"/>
      <c r="F16" s="7"/>
      <c r="G16" s="8"/>
      <c r="H16" s="9" t="str">
        <f>IF(G16="","",G16-8)</f>
        <v/>
      </c>
      <c r="I16" s="10"/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/>
      <c r="T16" s="7"/>
      <c r="U16" s="7"/>
      <c r="V16" s="8"/>
      <c r="W16" s="9" t="str">
        <f>IF(V16="","",V16-8)</f>
        <v/>
      </c>
      <c r="X16" s="11"/>
    </row>
    <row r="17" spans="2:24">
      <c r="B17" s="5">
        <v>43167</v>
      </c>
      <c r="C17" s="23" t="s">
        <v>319</v>
      </c>
      <c r="D17" s="6"/>
      <c r="E17" s="7"/>
      <c r="F17" s="7"/>
      <c r="G17" s="8"/>
      <c r="H17" s="9" t="str">
        <f>IF(G17="","",G17-8)</f>
        <v/>
      </c>
      <c r="I17" s="10"/>
      <c r="J17" s="7"/>
      <c r="K17" s="7"/>
      <c r="L17" s="8"/>
      <c r="M17" s="9" t="str">
        <f>IF(L17="","",L17-8)</f>
        <v/>
      </c>
      <c r="N17" s="10"/>
      <c r="O17" s="7"/>
      <c r="P17" s="7"/>
      <c r="Q17" s="8"/>
      <c r="R17" s="9" t="str">
        <f>IF(Q17="","",Q17-8)</f>
        <v/>
      </c>
      <c r="S17" s="6"/>
      <c r="T17" s="7"/>
      <c r="U17" s="7"/>
      <c r="V17" s="8"/>
      <c r="W17" s="9" t="str">
        <f>IF(V17="","",V17-8)</f>
        <v/>
      </c>
      <c r="X17" s="11"/>
    </row>
    <row r="18" spans="2:24">
      <c r="B18" s="5">
        <v>43168</v>
      </c>
      <c r="C18" s="23" t="s">
        <v>320</v>
      </c>
      <c r="D18" s="6"/>
      <c r="E18" s="7"/>
      <c r="F18" s="7"/>
      <c r="G18" s="8"/>
      <c r="H18" s="9" t="str">
        <f>IF(G18="","",G18-8)</f>
        <v/>
      </c>
      <c r="I18" s="10"/>
      <c r="J18" s="7"/>
      <c r="K18" s="7"/>
      <c r="L18" s="8"/>
      <c r="M18" s="9" t="str">
        <f>IF(L18="","",L18-8)</f>
        <v/>
      </c>
      <c r="N18" s="10"/>
      <c r="O18" s="7"/>
      <c r="P18" s="7"/>
      <c r="Q18" s="8"/>
      <c r="R18" s="9" t="str">
        <f>IF(Q18="","",Q18-8)</f>
        <v/>
      </c>
      <c r="S18" s="6"/>
      <c r="T18" s="7"/>
      <c r="U18" s="7"/>
      <c r="V18" s="8"/>
      <c r="W18" s="9" t="str">
        <f>IF(V18="","",V18-8)</f>
        <v/>
      </c>
      <c r="X18" s="11"/>
    </row>
    <row r="19" spans="2:24">
      <c r="B19" s="12">
        <v>43169</v>
      </c>
      <c r="C19" s="24" t="s">
        <v>321</v>
      </c>
      <c r="D19" s="13"/>
      <c r="E19" s="14"/>
      <c r="F19" s="14"/>
      <c r="G19" s="15"/>
      <c r="H19" s="16"/>
      <c r="I19" s="13"/>
      <c r="J19" s="14"/>
      <c r="K19" s="14"/>
      <c r="L19" s="15"/>
      <c r="M19" s="16"/>
      <c r="N19" s="13"/>
      <c r="O19" s="14"/>
      <c r="P19" s="14"/>
      <c r="Q19" s="15"/>
      <c r="R19" s="16"/>
      <c r="S19" s="13"/>
      <c r="T19" s="14"/>
      <c r="U19" s="14"/>
      <c r="V19" s="15"/>
      <c r="W19" s="16"/>
      <c r="X19" s="17"/>
    </row>
    <row r="20" spans="2:24">
      <c r="B20" s="12">
        <v>43170</v>
      </c>
      <c r="C20" s="24" t="s">
        <v>322</v>
      </c>
      <c r="D20" s="13"/>
      <c r="E20" s="14"/>
      <c r="F20" s="14"/>
      <c r="G20" s="15"/>
      <c r="H20" s="16"/>
      <c r="I20" s="13"/>
      <c r="J20" s="14"/>
      <c r="K20" s="14"/>
      <c r="L20" s="15"/>
      <c r="M20" s="16"/>
      <c r="N20" s="13"/>
      <c r="O20" s="14"/>
      <c r="P20" s="14"/>
      <c r="Q20" s="15"/>
      <c r="R20" s="16"/>
      <c r="S20" s="13"/>
      <c r="T20" s="14"/>
      <c r="U20" s="14"/>
      <c r="V20" s="15"/>
      <c r="W20" s="16"/>
      <c r="X20" s="17"/>
    </row>
    <row r="21" spans="2:24">
      <c r="B21" s="51" t="s">
        <v>309</v>
      </c>
      <c r="C21" s="52"/>
      <c r="D21" s="18"/>
      <c r="E21" s="19"/>
      <c r="F21" s="19"/>
      <c r="G21" s="20"/>
      <c r="H21" s="21">
        <f>SUM(H14:H20)</f>
        <v>0</v>
      </c>
      <c r="I21" s="18"/>
      <c r="J21" s="19"/>
      <c r="K21" s="19"/>
      <c r="L21" s="20"/>
      <c r="M21" s="21">
        <f>SUM(M14:M20)</f>
        <v>0</v>
      </c>
      <c r="N21" s="18"/>
      <c r="O21" s="19"/>
      <c r="P21" s="19"/>
      <c r="Q21" s="20"/>
      <c r="R21" s="21">
        <f>SUM(R14:R20)</f>
        <v>0</v>
      </c>
      <c r="S21" s="18"/>
      <c r="T21" s="19"/>
      <c r="U21" s="19"/>
      <c r="V21" s="20"/>
      <c r="W21" s="21">
        <f>SUM(W14:W20)</f>
        <v>0</v>
      </c>
      <c r="X21" s="22"/>
    </row>
    <row r="22" spans="2:24">
      <c r="B22" s="5">
        <v>43171</v>
      </c>
      <c r="C22" s="23" t="s">
        <v>323</v>
      </c>
      <c r="D22" s="6"/>
      <c r="E22" s="7"/>
      <c r="F22" s="7"/>
      <c r="G22" s="8"/>
      <c r="H22" s="9" t="str">
        <f>IF(G22="","",G22-8)</f>
        <v/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43172</v>
      </c>
      <c r="C23" s="23" t="s">
        <v>324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5">
        <v>43173</v>
      </c>
      <c r="C24" s="23" t="s">
        <v>325</v>
      </c>
      <c r="D24" s="6"/>
      <c r="E24" s="7"/>
      <c r="F24" s="7"/>
      <c r="G24" s="8"/>
      <c r="H24" s="9" t="str">
        <f>IF(G24="","",G24-8)</f>
        <v/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5">
        <v>43174</v>
      </c>
      <c r="C25" s="23" t="s">
        <v>326</v>
      </c>
      <c r="D25" s="6"/>
      <c r="E25" s="7"/>
      <c r="F25" s="7"/>
      <c r="G25" s="8"/>
      <c r="H25" s="9" t="str">
        <f>IF(G25="","",G25-8)</f>
        <v/>
      </c>
      <c r="I25" s="10"/>
      <c r="J25" s="7"/>
      <c r="K25" s="7"/>
      <c r="L25" s="8"/>
      <c r="M25" s="9" t="str">
        <f>IF(L25="","",L25-8)</f>
        <v/>
      </c>
      <c r="N25" s="10"/>
      <c r="O25" s="7"/>
      <c r="P25" s="7"/>
      <c r="Q25" s="8"/>
      <c r="R25" s="9" t="str">
        <f>IF(Q25="","",Q25-8)</f>
        <v/>
      </c>
      <c r="S25" s="6"/>
      <c r="T25" s="7"/>
      <c r="U25" s="7"/>
      <c r="V25" s="8"/>
      <c r="W25" s="9" t="str">
        <f>IF(V25="","",V25-8)</f>
        <v/>
      </c>
      <c r="X25" s="11"/>
    </row>
    <row r="26" spans="2:24">
      <c r="B26" s="5">
        <v>43175</v>
      </c>
      <c r="C26" s="23" t="s">
        <v>327</v>
      </c>
      <c r="D26" s="6"/>
      <c r="E26" s="7"/>
      <c r="F26" s="7"/>
      <c r="G26" s="8"/>
      <c r="H26" s="9" t="str">
        <f>IF(G26="","",G26-8)</f>
        <v/>
      </c>
      <c r="I26" s="10"/>
      <c r="J26" s="7"/>
      <c r="K26" s="7"/>
      <c r="L26" s="8"/>
      <c r="M26" s="9" t="str">
        <f>IF(L26="","",L26-8)</f>
        <v/>
      </c>
      <c r="N26" s="10"/>
      <c r="O26" s="7"/>
      <c r="P26" s="7"/>
      <c r="Q26" s="8"/>
      <c r="R26" s="9" t="str">
        <f>IF(Q26="","",Q26-8)</f>
        <v/>
      </c>
      <c r="S26" s="6"/>
      <c r="T26" s="7"/>
      <c r="U26" s="7"/>
      <c r="V26" s="8"/>
      <c r="W26" s="9" t="str">
        <f>IF(V26="","",V26-8)</f>
        <v/>
      </c>
      <c r="X26" s="11"/>
    </row>
    <row r="27" spans="2:24">
      <c r="B27" s="12">
        <v>43176</v>
      </c>
      <c r="C27" s="24" t="s">
        <v>328</v>
      </c>
      <c r="D27" s="13"/>
      <c r="E27" s="14"/>
      <c r="F27" s="14"/>
      <c r="G27" s="15"/>
      <c r="H27" s="16"/>
      <c r="I27" s="13"/>
      <c r="J27" s="14"/>
      <c r="K27" s="14"/>
      <c r="L27" s="15"/>
      <c r="M27" s="16"/>
      <c r="N27" s="13"/>
      <c r="O27" s="14"/>
      <c r="P27" s="14"/>
      <c r="Q27" s="15"/>
      <c r="R27" s="16"/>
      <c r="S27" s="13"/>
      <c r="T27" s="14"/>
      <c r="U27" s="14"/>
      <c r="V27" s="15"/>
      <c r="W27" s="16"/>
      <c r="X27" s="17"/>
    </row>
    <row r="28" spans="2:24">
      <c r="B28" s="12">
        <v>43177</v>
      </c>
      <c r="C28" s="24" t="s">
        <v>329</v>
      </c>
      <c r="D28" s="13"/>
      <c r="E28" s="14"/>
      <c r="F28" s="14"/>
      <c r="G28" s="15"/>
      <c r="H28" s="16"/>
      <c r="I28" s="13"/>
      <c r="J28" s="14"/>
      <c r="K28" s="14"/>
      <c r="L28" s="15"/>
      <c r="M28" s="16"/>
      <c r="N28" s="13"/>
      <c r="O28" s="14"/>
      <c r="P28" s="14"/>
      <c r="Q28" s="15"/>
      <c r="R28" s="16"/>
      <c r="S28" s="13"/>
      <c r="T28" s="14"/>
      <c r="U28" s="14"/>
      <c r="V28" s="15"/>
      <c r="W28" s="16"/>
      <c r="X28" s="17"/>
    </row>
    <row r="29" spans="2:24">
      <c r="B29" s="51" t="s">
        <v>309</v>
      </c>
      <c r="C29" s="52"/>
      <c r="D29" s="18"/>
      <c r="E29" s="19"/>
      <c r="F29" s="19"/>
      <c r="G29" s="20"/>
      <c r="H29" s="21">
        <f>SUM(H22:H28)</f>
        <v>0</v>
      </c>
      <c r="I29" s="18"/>
      <c r="J29" s="19"/>
      <c r="K29" s="19"/>
      <c r="L29" s="20"/>
      <c r="M29" s="21">
        <f>SUM(M22:M28)</f>
        <v>0</v>
      </c>
      <c r="N29" s="18"/>
      <c r="O29" s="19"/>
      <c r="P29" s="19"/>
      <c r="Q29" s="20"/>
      <c r="R29" s="21">
        <f>SUM(R22:R28)</f>
        <v>0</v>
      </c>
      <c r="S29" s="18"/>
      <c r="T29" s="19"/>
      <c r="U29" s="19"/>
      <c r="V29" s="20"/>
      <c r="W29" s="21">
        <f>SUM(W22:W28)</f>
        <v>0</v>
      </c>
      <c r="X29" s="22"/>
    </row>
    <row r="30" spans="2:24">
      <c r="B30" s="5">
        <v>43178</v>
      </c>
      <c r="C30" s="23" t="s">
        <v>330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43179</v>
      </c>
      <c r="C31" s="23" t="s">
        <v>331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5">
        <v>43180</v>
      </c>
      <c r="C32" s="23" t="s">
        <v>332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5">
        <v>43181</v>
      </c>
      <c r="C33" s="23" t="s">
        <v>333</v>
      </c>
      <c r="D33" s="6"/>
      <c r="E33" s="7"/>
      <c r="F33" s="7"/>
      <c r="G33" s="8"/>
      <c r="H33" s="9" t="str">
        <f>IF(G33="","",G33-8)</f>
        <v/>
      </c>
      <c r="I33" s="10"/>
      <c r="J33" s="7"/>
      <c r="K33" s="7"/>
      <c r="L33" s="8"/>
      <c r="M33" s="9" t="str">
        <f>IF(L33="","",L33-8)</f>
        <v/>
      </c>
      <c r="N33" s="10"/>
      <c r="O33" s="7"/>
      <c r="P33" s="7"/>
      <c r="Q33" s="8"/>
      <c r="R33" s="9" t="str">
        <f>IF(Q33="","",Q33-8)</f>
        <v/>
      </c>
      <c r="S33" s="6"/>
      <c r="T33" s="7"/>
      <c r="U33" s="7"/>
      <c r="V33" s="8"/>
      <c r="W33" s="9" t="str">
        <f>IF(V33="","",V33-8)</f>
        <v/>
      </c>
      <c r="X33" s="11"/>
    </row>
    <row r="34" spans="2:24">
      <c r="B34" s="5">
        <v>43182</v>
      </c>
      <c r="C34" s="23" t="s">
        <v>334</v>
      </c>
      <c r="D34" s="6"/>
      <c r="E34" s="7"/>
      <c r="F34" s="7"/>
      <c r="G34" s="8"/>
      <c r="H34" s="9" t="str">
        <f>IF(G34="","",G34-8)</f>
        <v/>
      </c>
      <c r="I34" s="10"/>
      <c r="J34" s="7"/>
      <c r="K34" s="7"/>
      <c r="L34" s="8"/>
      <c r="M34" s="9" t="str">
        <f>IF(L34="","",L34-8)</f>
        <v/>
      </c>
      <c r="N34" s="10"/>
      <c r="O34" s="7"/>
      <c r="P34" s="7"/>
      <c r="Q34" s="8"/>
      <c r="R34" s="9" t="str">
        <f>IF(Q34="","",Q34-8)</f>
        <v/>
      </c>
      <c r="S34" s="6"/>
      <c r="T34" s="7"/>
      <c r="U34" s="7"/>
      <c r="V34" s="8"/>
      <c r="W34" s="9" t="str">
        <f>IF(V34="","",V34-8)</f>
        <v/>
      </c>
      <c r="X34" s="11"/>
    </row>
    <row r="35" spans="2:24">
      <c r="B35" s="12">
        <v>43183</v>
      </c>
      <c r="C35" s="24" t="s">
        <v>335</v>
      </c>
      <c r="D35" s="13"/>
      <c r="E35" s="14"/>
      <c r="F35" s="14"/>
      <c r="G35" s="15"/>
      <c r="H35" s="16"/>
      <c r="I35" s="13"/>
      <c r="J35" s="14"/>
      <c r="K35" s="14"/>
      <c r="L35" s="15"/>
      <c r="M35" s="16"/>
      <c r="N35" s="13"/>
      <c r="O35" s="14"/>
      <c r="P35" s="14"/>
      <c r="Q35" s="15"/>
      <c r="R35" s="16"/>
      <c r="S35" s="13"/>
      <c r="T35" s="14"/>
      <c r="U35" s="14"/>
      <c r="V35" s="15"/>
      <c r="W35" s="16"/>
      <c r="X35" s="17"/>
    </row>
    <row r="36" spans="2:24">
      <c r="B36" s="12">
        <v>43184</v>
      </c>
      <c r="C36" s="24" t="s">
        <v>336</v>
      </c>
      <c r="D36" s="13"/>
      <c r="E36" s="14"/>
      <c r="F36" s="14"/>
      <c r="G36" s="15"/>
      <c r="H36" s="16"/>
      <c r="I36" s="13"/>
      <c r="J36" s="14"/>
      <c r="K36" s="14"/>
      <c r="L36" s="15"/>
      <c r="M36" s="16"/>
      <c r="N36" s="13"/>
      <c r="O36" s="14"/>
      <c r="P36" s="14"/>
      <c r="Q36" s="15"/>
      <c r="R36" s="16"/>
      <c r="S36" s="13"/>
      <c r="T36" s="14"/>
      <c r="U36" s="14"/>
      <c r="V36" s="15"/>
      <c r="W36" s="16"/>
      <c r="X36" s="17"/>
    </row>
    <row r="37" spans="2:24">
      <c r="B37" s="51" t="s">
        <v>309</v>
      </c>
      <c r="C37" s="52"/>
      <c r="D37" s="18"/>
      <c r="E37" s="19"/>
      <c r="F37" s="19"/>
      <c r="G37" s="20"/>
      <c r="H37" s="21">
        <f>SUM(H30:H36)</f>
        <v>0</v>
      </c>
      <c r="I37" s="18"/>
      <c r="J37" s="19"/>
      <c r="K37" s="19"/>
      <c r="L37" s="20"/>
      <c r="M37" s="21">
        <f>SUM(M30:M36)</f>
        <v>0</v>
      </c>
      <c r="N37" s="18"/>
      <c r="O37" s="19"/>
      <c r="P37" s="19"/>
      <c r="Q37" s="20"/>
      <c r="R37" s="21">
        <f>SUM(R30:R36)</f>
        <v>0</v>
      </c>
      <c r="S37" s="18"/>
      <c r="T37" s="19"/>
      <c r="U37" s="19"/>
      <c r="V37" s="20"/>
      <c r="W37" s="21">
        <f>SUM(W30:W36)</f>
        <v>0</v>
      </c>
      <c r="X37" s="22"/>
    </row>
    <row r="38" spans="2:24">
      <c r="B38" s="5">
        <v>43185</v>
      </c>
      <c r="C38" s="23" t="s">
        <v>337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43186</v>
      </c>
      <c r="C39" s="23" t="s">
        <v>338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5">
        <v>43187</v>
      </c>
      <c r="C40" s="23" t="s">
        <v>339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5">
        <v>43188</v>
      </c>
      <c r="C41" s="23" t="s">
        <v>340</v>
      </c>
      <c r="D41" s="6"/>
      <c r="E41" s="7"/>
      <c r="F41" s="7"/>
      <c r="G41" s="8"/>
      <c r="H41" s="9" t="str">
        <f>IF(G41="","",G41-8)</f>
        <v/>
      </c>
      <c r="I41" s="10"/>
      <c r="J41" s="7"/>
      <c r="K41" s="7"/>
      <c r="L41" s="8"/>
      <c r="M41" s="9" t="str">
        <f>IF(L41="","",L41-8)</f>
        <v/>
      </c>
      <c r="N41" s="10"/>
      <c r="O41" s="7"/>
      <c r="P41" s="7"/>
      <c r="Q41" s="8"/>
      <c r="R41" s="9" t="str">
        <f>IF(Q41="","",Q41-8)</f>
        <v/>
      </c>
      <c r="S41" s="6"/>
      <c r="T41" s="7"/>
      <c r="U41" s="7"/>
      <c r="V41" s="8"/>
      <c r="W41" s="9" t="str">
        <f>IF(V41="","",V41-8)</f>
        <v/>
      </c>
      <c r="X41" s="11"/>
    </row>
    <row r="42" spans="2:24">
      <c r="B42" s="5">
        <v>43189</v>
      </c>
      <c r="C42" s="23" t="s">
        <v>341</v>
      </c>
      <c r="D42" s="6"/>
      <c r="E42" s="7"/>
      <c r="F42" s="7"/>
      <c r="G42" s="8"/>
      <c r="H42" s="9" t="str">
        <f>IF(G42="","",G42-8)</f>
        <v/>
      </c>
      <c r="I42" s="10"/>
      <c r="J42" s="7"/>
      <c r="K42" s="7"/>
      <c r="L42" s="8"/>
      <c r="M42" s="9" t="str">
        <f>IF(L42="","",L42-8)</f>
        <v/>
      </c>
      <c r="N42" s="10"/>
      <c r="O42" s="7"/>
      <c r="P42" s="7"/>
      <c r="Q42" s="8"/>
      <c r="R42" s="9" t="str">
        <f>IF(Q42="","",Q42-8)</f>
        <v/>
      </c>
      <c r="S42" s="6"/>
      <c r="T42" s="7"/>
      <c r="U42" s="7"/>
      <c r="V42" s="8"/>
      <c r="W42" s="9" t="str">
        <f>IF(V42="","",V42-8)</f>
        <v/>
      </c>
      <c r="X42" s="11"/>
    </row>
    <row r="43" spans="2:24">
      <c r="B43" s="12">
        <v>43190</v>
      </c>
      <c r="C43" s="24" t="s">
        <v>12</v>
      </c>
      <c r="D43" s="13"/>
      <c r="E43" s="14"/>
      <c r="F43" s="14"/>
      <c r="G43" s="15"/>
      <c r="H43" s="16"/>
      <c r="I43" s="13"/>
      <c r="J43" s="14"/>
      <c r="K43" s="14"/>
      <c r="L43" s="15"/>
      <c r="M43" s="16"/>
      <c r="N43" s="13"/>
      <c r="O43" s="14"/>
      <c r="P43" s="14"/>
      <c r="Q43" s="15"/>
      <c r="R43" s="16"/>
      <c r="S43" s="13"/>
      <c r="T43" s="14"/>
      <c r="U43" s="14"/>
      <c r="V43" s="15"/>
      <c r="W43" s="16"/>
      <c r="X43" s="17"/>
    </row>
    <row r="44" spans="2:24">
      <c r="B44" s="50" t="s">
        <v>401</v>
      </c>
      <c r="C44" s="50"/>
      <c r="D44" s="1"/>
      <c r="E44" s="1"/>
      <c r="F44" s="1"/>
      <c r="G44" s="1"/>
      <c r="H44" s="25">
        <f>SUM(SUMIF($B$9:$B$50,"Total hours",H$9:H$50),'2018.2'!H$41:H$41)</f>
        <v>166</v>
      </c>
      <c r="I44" s="1"/>
      <c r="J44" s="1"/>
      <c r="K44" s="1"/>
      <c r="L44" s="1"/>
      <c r="M44" s="25">
        <f>SUM(SUMIF($B$9:$B$50,"Total hours",M$9:M$50),'2018.2'!M$41:M$41)</f>
        <v>95</v>
      </c>
      <c r="N44" s="1"/>
      <c r="O44" s="1"/>
      <c r="P44" s="1"/>
      <c r="Q44" s="1"/>
      <c r="R44" s="25">
        <f>SUM(SUMIF($B$9:$B$50,"Total hours",R$9:R$50),'2018.2'!R$41:R$41)</f>
        <v>61.5</v>
      </c>
      <c r="S44" s="1"/>
      <c r="T44" s="1"/>
      <c r="U44" s="1"/>
      <c r="V44" s="1"/>
      <c r="W44" s="25">
        <f>SUM(SUMIF($B$9:$B$50,"Total hours",W$9:W$50),'2018.2'!W$41:W$41)</f>
        <v>14.5</v>
      </c>
      <c r="X44" s="26"/>
    </row>
    <row r="46" spans="2:24">
      <c r="B46" s="27" t="s">
        <v>379</v>
      </c>
      <c r="C46" s="28"/>
      <c r="D46" s="28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0"/>
      <c r="R46" s="30"/>
      <c r="S46" s="31"/>
    </row>
    <row r="47" spans="2:24">
      <c r="B47" s="32" t="s">
        <v>380</v>
      </c>
      <c r="C47" s="33" t="s">
        <v>381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8"/>
      <c r="C48" s="34" t="s">
        <v>382</v>
      </c>
      <c r="D48" s="39"/>
      <c r="E48" s="35" t="s">
        <v>383</v>
      </c>
      <c r="F48" s="35"/>
      <c r="G48" s="34"/>
      <c r="H48" s="34"/>
      <c r="I48" s="34" t="s">
        <v>384</v>
      </c>
      <c r="J48" s="39"/>
      <c r="K48" s="35" t="s">
        <v>385</v>
      </c>
      <c r="L48" s="34"/>
      <c r="M48" s="34"/>
      <c r="N48" s="34"/>
      <c r="O48" s="34" t="s">
        <v>386</v>
      </c>
      <c r="P48" s="34"/>
      <c r="Q48" s="36" t="s">
        <v>387</v>
      </c>
      <c r="R48" s="36"/>
      <c r="S48" s="37"/>
    </row>
    <row r="49" spans="2:19">
      <c r="B49" s="38"/>
      <c r="C49" s="44" t="s">
        <v>388</v>
      </c>
      <c r="D49" s="45"/>
      <c r="E49" s="45"/>
      <c r="F49" s="45"/>
      <c r="G49" s="45"/>
      <c r="H49" s="45"/>
      <c r="I49" s="45"/>
      <c r="J49" s="45"/>
      <c r="K49" s="34"/>
      <c r="L49" s="34"/>
      <c r="M49" s="34"/>
      <c r="N49" s="46"/>
      <c r="O49" s="34"/>
      <c r="P49" s="34"/>
      <c r="Q49" s="36"/>
      <c r="R49" s="36"/>
      <c r="S49" s="37"/>
    </row>
    <row r="50" spans="2:19">
      <c r="B50" s="32" t="s">
        <v>389</v>
      </c>
      <c r="C50" s="33" t="s">
        <v>390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7" t="s">
        <v>391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8" t="s">
        <v>392</v>
      </c>
      <c r="D52" s="34"/>
      <c r="E52" s="35"/>
      <c r="F52" s="35" t="s">
        <v>393</v>
      </c>
      <c r="G52" s="34"/>
      <c r="H52" s="34"/>
      <c r="I52" s="34" t="s">
        <v>394</v>
      </c>
      <c r="J52" s="34"/>
      <c r="K52" s="34"/>
      <c r="L52" s="34" t="s">
        <v>395</v>
      </c>
      <c r="M52" s="34"/>
      <c r="N52" s="34"/>
      <c r="O52" s="34"/>
      <c r="P52" s="34"/>
      <c r="Q52" s="36"/>
      <c r="R52" s="36"/>
      <c r="S52" s="37"/>
    </row>
    <row r="53" spans="2:19">
      <c r="B53" s="38"/>
      <c r="C53" s="34"/>
      <c r="D53" s="34"/>
      <c r="E53" s="35"/>
      <c r="F53" s="35" t="s">
        <v>396</v>
      </c>
      <c r="G53" s="34"/>
      <c r="H53" s="34"/>
      <c r="I53" s="34" t="s">
        <v>397</v>
      </c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32" t="s">
        <v>398</v>
      </c>
      <c r="C54" s="33" t="s">
        <v>399</v>
      </c>
      <c r="D54" s="34"/>
      <c r="E54" s="35"/>
      <c r="F54" s="35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40"/>
      <c r="C55" s="41" t="s">
        <v>400</v>
      </c>
      <c r="D55" s="41"/>
      <c r="E55" s="42"/>
      <c r="F55" s="42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3"/>
      <c r="R55" s="43"/>
      <c r="S55" s="49"/>
    </row>
  </sheetData>
  <mergeCells count="13">
    <mergeCell ref="S7:W7"/>
    <mergeCell ref="X7:X8"/>
    <mergeCell ref="B4:X4"/>
    <mergeCell ref="B7:B8"/>
    <mergeCell ref="C7:C8"/>
    <mergeCell ref="D7:H7"/>
    <mergeCell ref="I7:M7"/>
    <mergeCell ref="N7:R7"/>
    <mergeCell ref="B13:C13"/>
    <mergeCell ref="B21:C21"/>
    <mergeCell ref="B29:C29"/>
    <mergeCell ref="B37:C37"/>
    <mergeCell ref="B44:C4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X55"/>
  <sheetViews>
    <sheetView topLeftCell="A43" zoomScale="85" zoomScaleNormal="85" workbookViewId="0">
      <selection activeCell="B46" sqref="B46:S55"/>
    </sheetView>
  </sheetViews>
  <sheetFormatPr defaultRowHeight="15"/>
  <cols>
    <col min="2" max="2" width="9.7109375" bestFit="1" customWidth="1"/>
    <col min="24" max="24" width="10.570312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12">
        <v>43191</v>
      </c>
      <c r="C9" s="24" t="s">
        <v>50</v>
      </c>
      <c r="D9" s="13"/>
      <c r="E9" s="14"/>
      <c r="F9" s="14"/>
      <c r="G9" s="15"/>
      <c r="H9" s="16"/>
      <c r="I9" s="13"/>
      <c r="J9" s="14"/>
      <c r="K9" s="14"/>
      <c r="L9" s="15"/>
      <c r="M9" s="16"/>
      <c r="N9" s="13"/>
      <c r="O9" s="14"/>
      <c r="P9" s="14"/>
      <c r="Q9" s="15"/>
      <c r="R9" s="16"/>
      <c r="S9" s="13"/>
      <c r="T9" s="14"/>
      <c r="U9" s="14"/>
      <c r="V9" s="15"/>
      <c r="W9" s="16"/>
      <c r="X9" s="17"/>
    </row>
    <row r="10" spans="2:24">
      <c r="B10" s="51" t="s">
        <v>309</v>
      </c>
      <c r="C10" s="52"/>
      <c r="D10" s="18"/>
      <c r="E10" s="19"/>
      <c r="F10" s="19"/>
      <c r="G10" s="20"/>
      <c r="H10" s="21">
        <f>SUM(H$9:H9,'2018.3'!H$38:H$43)</f>
        <v>0</v>
      </c>
      <c r="I10" s="18"/>
      <c r="J10" s="19"/>
      <c r="K10" s="19"/>
      <c r="L10" s="20"/>
      <c r="M10" s="21">
        <f>SUM(M$9:M9,'2018.3'!M$38:M$43)</f>
        <v>0</v>
      </c>
      <c r="N10" s="18"/>
      <c r="O10" s="19"/>
      <c r="P10" s="19"/>
      <c r="Q10" s="20"/>
      <c r="R10" s="21">
        <f>SUM(R$9:R9,'2018.3'!R$38:R$43)</f>
        <v>0</v>
      </c>
      <c r="S10" s="18"/>
      <c r="T10" s="19"/>
      <c r="U10" s="19"/>
      <c r="V10" s="20"/>
      <c r="W10" s="21">
        <f>SUM(W$9:W9,'2018.3'!W$38:W$43)</f>
        <v>0</v>
      </c>
      <c r="X10" s="22"/>
    </row>
    <row r="11" spans="2:24">
      <c r="B11" s="5">
        <v>43192</v>
      </c>
      <c r="C11" s="23" t="s">
        <v>51</v>
      </c>
      <c r="D11" s="6"/>
      <c r="E11" s="7"/>
      <c r="F11" s="7"/>
      <c r="G11" s="8"/>
      <c r="H11" s="9" t="str">
        <f>IF(G11="","",G11-8)</f>
        <v/>
      </c>
      <c r="I11" s="10"/>
      <c r="J11" s="7"/>
      <c r="K11" s="7"/>
      <c r="L11" s="8"/>
      <c r="M11" s="9" t="str">
        <f>IF(L11="","",L11-8)</f>
        <v/>
      </c>
      <c r="N11" s="10"/>
      <c r="O11" s="7"/>
      <c r="P11" s="7"/>
      <c r="Q11" s="8"/>
      <c r="R11" s="9" t="str">
        <f>IF(Q11="","",Q11-8)</f>
        <v/>
      </c>
      <c r="S11" s="6"/>
      <c r="T11" s="7"/>
      <c r="U11" s="7"/>
      <c r="V11" s="8"/>
      <c r="W11" s="9" t="str">
        <f>IF(V11="","",V11-8)</f>
        <v/>
      </c>
      <c r="X11" s="11"/>
    </row>
    <row r="12" spans="2:24">
      <c r="B12" s="5">
        <v>43193</v>
      </c>
      <c r="C12" s="23" t="s">
        <v>52</v>
      </c>
      <c r="D12" s="6"/>
      <c r="E12" s="7"/>
      <c r="F12" s="7"/>
      <c r="G12" s="8"/>
      <c r="H12" s="9" t="str">
        <f>IF(G12="","",G12-8)</f>
        <v/>
      </c>
      <c r="I12" s="10"/>
      <c r="J12" s="7"/>
      <c r="K12" s="7"/>
      <c r="L12" s="8"/>
      <c r="M12" s="9" t="str">
        <f>IF(L12="","",L12-8)</f>
        <v/>
      </c>
      <c r="N12" s="10"/>
      <c r="O12" s="7"/>
      <c r="P12" s="7"/>
      <c r="Q12" s="8"/>
      <c r="R12" s="9" t="str">
        <f>IF(Q12="","",Q12-8)</f>
        <v/>
      </c>
      <c r="S12" s="6"/>
      <c r="T12" s="7"/>
      <c r="U12" s="7"/>
      <c r="V12" s="8"/>
      <c r="W12" s="9" t="str">
        <f>IF(V12="","",V12-8)</f>
        <v/>
      </c>
      <c r="X12" s="11"/>
    </row>
    <row r="13" spans="2:24">
      <c r="B13" s="5">
        <v>43194</v>
      </c>
      <c r="C13" s="23" t="s">
        <v>53</v>
      </c>
      <c r="D13" s="6"/>
      <c r="E13" s="7"/>
      <c r="F13" s="7"/>
      <c r="G13" s="8"/>
      <c r="H13" s="9" t="str">
        <f>IF(G13="","",G13-8)</f>
        <v/>
      </c>
      <c r="I13" s="10"/>
      <c r="J13" s="7"/>
      <c r="K13" s="7"/>
      <c r="L13" s="8"/>
      <c r="M13" s="9" t="str">
        <f>IF(L13="","",L13-8)</f>
        <v/>
      </c>
      <c r="N13" s="10"/>
      <c r="O13" s="7"/>
      <c r="P13" s="7"/>
      <c r="Q13" s="8"/>
      <c r="R13" s="9" t="str">
        <f>IF(Q13="","",Q13-8)</f>
        <v/>
      </c>
      <c r="S13" s="6"/>
      <c r="T13" s="7"/>
      <c r="U13" s="7"/>
      <c r="V13" s="8"/>
      <c r="W13" s="9" t="str">
        <f>IF(V13="","",V13-8)</f>
        <v/>
      </c>
      <c r="X13" s="11"/>
    </row>
    <row r="14" spans="2:24">
      <c r="B14" s="5">
        <v>43195</v>
      </c>
      <c r="C14" s="23" t="s">
        <v>54</v>
      </c>
      <c r="D14" s="6"/>
      <c r="E14" s="7"/>
      <c r="F14" s="7"/>
      <c r="G14" s="8"/>
      <c r="H14" s="9" t="str">
        <f>IF(G14="","",G14-8)</f>
        <v/>
      </c>
      <c r="I14" s="10"/>
      <c r="J14" s="7"/>
      <c r="K14" s="7"/>
      <c r="L14" s="8"/>
      <c r="M14" s="9" t="str">
        <f>IF(L14="","",L14-8)</f>
        <v/>
      </c>
      <c r="N14" s="10"/>
      <c r="O14" s="7"/>
      <c r="P14" s="7"/>
      <c r="Q14" s="8"/>
      <c r="R14" s="9" t="str">
        <f>IF(Q14="","",Q14-8)</f>
        <v/>
      </c>
      <c r="S14" s="6"/>
      <c r="T14" s="7"/>
      <c r="U14" s="7"/>
      <c r="V14" s="8"/>
      <c r="W14" s="9" t="str">
        <f>IF(V14="","",V14-8)</f>
        <v/>
      </c>
      <c r="X14" s="11"/>
    </row>
    <row r="15" spans="2:24">
      <c r="B15" s="5">
        <v>43196</v>
      </c>
      <c r="C15" s="23" t="s">
        <v>2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12">
        <v>43197</v>
      </c>
      <c r="C16" s="24" t="s">
        <v>55</v>
      </c>
      <c r="D16" s="13"/>
      <c r="E16" s="14"/>
      <c r="F16" s="14"/>
      <c r="G16" s="15"/>
      <c r="H16" s="16"/>
      <c r="I16" s="13"/>
      <c r="J16" s="14"/>
      <c r="K16" s="14"/>
      <c r="L16" s="15"/>
      <c r="M16" s="16"/>
      <c r="N16" s="13"/>
      <c r="O16" s="14"/>
      <c r="P16" s="14"/>
      <c r="Q16" s="15"/>
      <c r="R16" s="16"/>
      <c r="S16" s="13"/>
      <c r="T16" s="14"/>
      <c r="U16" s="14"/>
      <c r="V16" s="15"/>
      <c r="W16" s="16"/>
      <c r="X16" s="17"/>
    </row>
    <row r="17" spans="2:24">
      <c r="B17" s="12">
        <v>43198</v>
      </c>
      <c r="C17" s="24" t="s">
        <v>21</v>
      </c>
      <c r="D17" s="13"/>
      <c r="E17" s="14"/>
      <c r="F17" s="14"/>
      <c r="G17" s="15"/>
      <c r="H17" s="16"/>
      <c r="I17" s="13"/>
      <c r="J17" s="14"/>
      <c r="K17" s="14"/>
      <c r="L17" s="15"/>
      <c r="M17" s="16"/>
      <c r="N17" s="13"/>
      <c r="O17" s="14"/>
      <c r="P17" s="14"/>
      <c r="Q17" s="15"/>
      <c r="R17" s="16"/>
      <c r="S17" s="13"/>
      <c r="T17" s="14"/>
      <c r="U17" s="14"/>
      <c r="V17" s="15"/>
      <c r="W17" s="16"/>
      <c r="X17" s="17"/>
    </row>
    <row r="18" spans="2:24">
      <c r="B18" s="51" t="s">
        <v>309</v>
      </c>
      <c r="C18" s="52"/>
      <c r="D18" s="18"/>
      <c r="E18" s="19"/>
      <c r="F18" s="19"/>
      <c r="G18" s="20"/>
      <c r="H18" s="21">
        <f>SUM(H11:H17)</f>
        <v>0</v>
      </c>
      <c r="I18" s="18"/>
      <c r="J18" s="19"/>
      <c r="K18" s="19"/>
      <c r="L18" s="20"/>
      <c r="M18" s="21">
        <f>SUM(M11:M17)</f>
        <v>0</v>
      </c>
      <c r="N18" s="18"/>
      <c r="O18" s="19"/>
      <c r="P18" s="19"/>
      <c r="Q18" s="20"/>
      <c r="R18" s="21">
        <f>SUM(R11:R17)</f>
        <v>0</v>
      </c>
      <c r="S18" s="18"/>
      <c r="T18" s="19"/>
      <c r="U18" s="19"/>
      <c r="V18" s="20"/>
      <c r="W18" s="21">
        <f>SUM(W11:W17)</f>
        <v>0</v>
      </c>
      <c r="X18" s="22"/>
    </row>
    <row r="19" spans="2:24">
      <c r="B19" s="5">
        <v>43199</v>
      </c>
      <c r="C19" s="23" t="s">
        <v>57</v>
      </c>
      <c r="D19" s="6"/>
      <c r="E19" s="7"/>
      <c r="F19" s="7"/>
      <c r="G19" s="8"/>
      <c r="H19" s="9" t="str">
        <f>IF(G19="","",G19-8)</f>
        <v/>
      </c>
      <c r="I19" s="10"/>
      <c r="J19" s="7"/>
      <c r="K19" s="7"/>
      <c r="L19" s="8"/>
      <c r="M19" s="9" t="str">
        <f>IF(L19="","",L19-8)</f>
        <v/>
      </c>
      <c r="N19" s="10"/>
      <c r="O19" s="7"/>
      <c r="P19" s="7"/>
      <c r="Q19" s="8"/>
      <c r="R19" s="9" t="str">
        <f>IF(Q19="","",Q19-8)</f>
        <v/>
      </c>
      <c r="S19" s="6"/>
      <c r="T19" s="7"/>
      <c r="U19" s="7"/>
      <c r="V19" s="8"/>
      <c r="W19" s="9" t="str">
        <f>IF(V19="","",V19-8)</f>
        <v/>
      </c>
      <c r="X19" s="11"/>
    </row>
    <row r="20" spans="2:24">
      <c r="B20" s="5">
        <v>43200</v>
      </c>
      <c r="C20" s="23" t="s">
        <v>58</v>
      </c>
      <c r="D20" s="6"/>
      <c r="E20" s="7"/>
      <c r="F20" s="7"/>
      <c r="G20" s="8"/>
      <c r="H20" s="9" t="str">
        <f>IF(G20="","",G20-8)</f>
        <v/>
      </c>
      <c r="I20" s="10"/>
      <c r="J20" s="7"/>
      <c r="K20" s="7"/>
      <c r="L20" s="8"/>
      <c r="M20" s="9" t="str">
        <f>IF(L20="","",L20-8)</f>
        <v/>
      </c>
      <c r="N20" s="10"/>
      <c r="O20" s="7"/>
      <c r="P20" s="7"/>
      <c r="Q20" s="8"/>
      <c r="R20" s="9" t="str">
        <f>IF(Q20="","",Q20-8)</f>
        <v/>
      </c>
      <c r="S20" s="6"/>
      <c r="T20" s="7"/>
      <c r="U20" s="7"/>
      <c r="V20" s="8"/>
      <c r="W20" s="9" t="str">
        <f>IF(V20="","",V20-8)</f>
        <v/>
      </c>
      <c r="X20" s="11"/>
    </row>
    <row r="21" spans="2:24">
      <c r="B21" s="5">
        <v>43201</v>
      </c>
      <c r="C21" s="23" t="s">
        <v>59</v>
      </c>
      <c r="D21" s="6"/>
      <c r="E21" s="7"/>
      <c r="F21" s="7"/>
      <c r="G21" s="8"/>
      <c r="H21" s="9" t="str">
        <f>IF(G21="","",G21-8)</f>
        <v/>
      </c>
      <c r="I21" s="10"/>
      <c r="J21" s="7"/>
      <c r="K21" s="7"/>
      <c r="L21" s="8"/>
      <c r="M21" s="9" t="str">
        <f>IF(L21="","",L21-8)</f>
        <v/>
      </c>
      <c r="N21" s="10"/>
      <c r="O21" s="7"/>
      <c r="P21" s="7"/>
      <c r="Q21" s="8"/>
      <c r="R21" s="9" t="str">
        <f>IF(Q21="","",Q21-8)</f>
        <v/>
      </c>
      <c r="S21" s="6"/>
      <c r="T21" s="7"/>
      <c r="U21" s="7"/>
      <c r="V21" s="8"/>
      <c r="W21" s="9" t="str">
        <f>IF(V21="","",V21-8)</f>
        <v/>
      </c>
      <c r="X21" s="11"/>
    </row>
    <row r="22" spans="2:24">
      <c r="B22" s="5">
        <v>43202</v>
      </c>
      <c r="C22" s="23" t="s">
        <v>60</v>
      </c>
      <c r="D22" s="6"/>
      <c r="E22" s="7"/>
      <c r="F22" s="7"/>
      <c r="G22" s="8"/>
      <c r="H22" s="9" t="str">
        <f>IF(G22="","",G22-8)</f>
        <v/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43203</v>
      </c>
      <c r="C23" s="23" t="s">
        <v>61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12">
        <v>43204</v>
      </c>
      <c r="C24" s="24" t="s">
        <v>62</v>
      </c>
      <c r="D24" s="13"/>
      <c r="E24" s="14"/>
      <c r="F24" s="14"/>
      <c r="G24" s="15"/>
      <c r="H24" s="16"/>
      <c r="I24" s="13"/>
      <c r="J24" s="14"/>
      <c r="K24" s="14"/>
      <c r="L24" s="15"/>
      <c r="M24" s="16"/>
      <c r="N24" s="13"/>
      <c r="O24" s="14"/>
      <c r="P24" s="14"/>
      <c r="Q24" s="15"/>
      <c r="R24" s="16"/>
      <c r="S24" s="13"/>
      <c r="T24" s="14"/>
      <c r="U24" s="14"/>
      <c r="V24" s="15"/>
      <c r="W24" s="16"/>
      <c r="X24" s="17"/>
    </row>
    <row r="25" spans="2:24">
      <c r="B25" s="12">
        <v>43205</v>
      </c>
      <c r="C25" s="24" t="s">
        <v>56</v>
      </c>
      <c r="D25" s="13"/>
      <c r="E25" s="14"/>
      <c r="F25" s="14"/>
      <c r="G25" s="15"/>
      <c r="H25" s="16"/>
      <c r="I25" s="13"/>
      <c r="J25" s="14"/>
      <c r="K25" s="14"/>
      <c r="L25" s="15"/>
      <c r="M25" s="16"/>
      <c r="N25" s="13"/>
      <c r="O25" s="14"/>
      <c r="P25" s="14"/>
      <c r="Q25" s="15"/>
      <c r="R25" s="16"/>
      <c r="S25" s="13"/>
      <c r="T25" s="14"/>
      <c r="U25" s="14"/>
      <c r="V25" s="15"/>
      <c r="W25" s="16"/>
      <c r="X25" s="17"/>
    </row>
    <row r="26" spans="2:24">
      <c r="B26" s="51" t="s">
        <v>309</v>
      </c>
      <c r="C26" s="52"/>
      <c r="D26" s="18"/>
      <c r="E26" s="19"/>
      <c r="F26" s="19"/>
      <c r="G26" s="20"/>
      <c r="H26" s="21">
        <f>SUM(H19:H25)</f>
        <v>0</v>
      </c>
      <c r="I26" s="18"/>
      <c r="J26" s="19"/>
      <c r="K26" s="19"/>
      <c r="L26" s="20"/>
      <c r="M26" s="21">
        <f>SUM(M19:M25)</f>
        <v>0</v>
      </c>
      <c r="N26" s="18"/>
      <c r="O26" s="19"/>
      <c r="P26" s="19"/>
      <c r="Q26" s="20"/>
      <c r="R26" s="21">
        <f>SUM(R19:R25)</f>
        <v>0</v>
      </c>
      <c r="S26" s="18"/>
      <c r="T26" s="19"/>
      <c r="U26" s="19"/>
      <c r="V26" s="20"/>
      <c r="W26" s="21">
        <f>SUM(W19:W25)</f>
        <v>0</v>
      </c>
      <c r="X26" s="22"/>
    </row>
    <row r="27" spans="2:24">
      <c r="B27" s="5">
        <v>43206</v>
      </c>
      <c r="C27" s="23" t="s">
        <v>64</v>
      </c>
      <c r="D27" s="6"/>
      <c r="E27" s="7"/>
      <c r="F27" s="7"/>
      <c r="G27" s="8"/>
      <c r="H27" s="9" t="str">
        <f>IF(G27="","",G27-8)</f>
        <v/>
      </c>
      <c r="I27" s="10"/>
      <c r="J27" s="7"/>
      <c r="K27" s="7"/>
      <c r="L27" s="8"/>
      <c r="M27" s="9" t="str">
        <f>IF(L27="","",L27-8)</f>
        <v/>
      </c>
      <c r="N27" s="10"/>
      <c r="O27" s="7"/>
      <c r="P27" s="7"/>
      <c r="Q27" s="8"/>
      <c r="R27" s="9" t="str">
        <f>IF(Q27="","",Q27-8)</f>
        <v/>
      </c>
      <c r="S27" s="6"/>
      <c r="T27" s="7"/>
      <c r="U27" s="7"/>
      <c r="V27" s="8"/>
      <c r="W27" s="9" t="str">
        <f>IF(V27="","",V27-8)</f>
        <v/>
      </c>
      <c r="X27" s="11"/>
    </row>
    <row r="28" spans="2:24">
      <c r="B28" s="5">
        <v>43207</v>
      </c>
      <c r="C28" s="23" t="s">
        <v>65</v>
      </c>
      <c r="D28" s="6"/>
      <c r="E28" s="7"/>
      <c r="F28" s="7"/>
      <c r="G28" s="8"/>
      <c r="H28" s="9" t="str">
        <f>IF(G28="","",G28-8)</f>
        <v/>
      </c>
      <c r="I28" s="10"/>
      <c r="J28" s="7"/>
      <c r="K28" s="7"/>
      <c r="L28" s="8"/>
      <c r="M28" s="9" t="str">
        <f>IF(L28="","",L28-8)</f>
        <v/>
      </c>
      <c r="N28" s="10"/>
      <c r="O28" s="7"/>
      <c r="P28" s="7"/>
      <c r="Q28" s="8"/>
      <c r="R28" s="9" t="str">
        <f>IF(Q28="","",Q28-8)</f>
        <v/>
      </c>
      <c r="S28" s="6"/>
      <c r="T28" s="7"/>
      <c r="U28" s="7"/>
      <c r="V28" s="8"/>
      <c r="W28" s="9" t="str">
        <f>IF(V28="","",V28-8)</f>
        <v/>
      </c>
      <c r="X28" s="11"/>
    </row>
    <row r="29" spans="2:24">
      <c r="B29" s="5">
        <v>43208</v>
      </c>
      <c r="C29" s="23" t="s">
        <v>66</v>
      </c>
      <c r="D29" s="6"/>
      <c r="E29" s="7"/>
      <c r="F29" s="7"/>
      <c r="G29" s="8"/>
      <c r="H29" s="9" t="str">
        <f>IF(G29="","",G29-8)</f>
        <v/>
      </c>
      <c r="I29" s="10"/>
      <c r="J29" s="7"/>
      <c r="K29" s="7"/>
      <c r="L29" s="8"/>
      <c r="M29" s="9" t="str">
        <f>IF(L29="","",L29-8)</f>
        <v/>
      </c>
      <c r="N29" s="10"/>
      <c r="O29" s="7"/>
      <c r="P29" s="7"/>
      <c r="Q29" s="8"/>
      <c r="R29" s="9" t="str">
        <f>IF(Q29="","",Q29-8)</f>
        <v/>
      </c>
      <c r="S29" s="6"/>
      <c r="T29" s="7"/>
      <c r="U29" s="7"/>
      <c r="V29" s="8"/>
      <c r="W29" s="9" t="str">
        <f>IF(V29="","",V29-8)</f>
        <v/>
      </c>
      <c r="X29" s="11"/>
    </row>
    <row r="30" spans="2:24">
      <c r="B30" s="5">
        <v>43209</v>
      </c>
      <c r="C30" s="23" t="s">
        <v>67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43210</v>
      </c>
      <c r="C31" s="23" t="s">
        <v>68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12">
        <v>43211</v>
      </c>
      <c r="C32" s="24" t="s">
        <v>69</v>
      </c>
      <c r="D32" s="13"/>
      <c r="E32" s="14"/>
      <c r="F32" s="14"/>
      <c r="G32" s="15"/>
      <c r="H32" s="16"/>
      <c r="I32" s="13"/>
      <c r="J32" s="14"/>
      <c r="K32" s="14"/>
      <c r="L32" s="15"/>
      <c r="M32" s="16"/>
      <c r="N32" s="13"/>
      <c r="O32" s="14"/>
      <c r="P32" s="14"/>
      <c r="Q32" s="15"/>
      <c r="R32" s="16"/>
      <c r="S32" s="13"/>
      <c r="T32" s="14"/>
      <c r="U32" s="14"/>
      <c r="V32" s="15"/>
      <c r="W32" s="16"/>
      <c r="X32" s="17"/>
    </row>
    <row r="33" spans="2:24">
      <c r="B33" s="12">
        <v>43212</v>
      </c>
      <c r="C33" s="24" t="s">
        <v>63</v>
      </c>
      <c r="D33" s="13"/>
      <c r="E33" s="14"/>
      <c r="F33" s="14"/>
      <c r="G33" s="15"/>
      <c r="H33" s="16"/>
      <c r="I33" s="13"/>
      <c r="J33" s="14"/>
      <c r="K33" s="14"/>
      <c r="L33" s="15"/>
      <c r="M33" s="16"/>
      <c r="N33" s="13"/>
      <c r="O33" s="14"/>
      <c r="P33" s="14"/>
      <c r="Q33" s="15"/>
      <c r="R33" s="16"/>
      <c r="S33" s="13"/>
      <c r="T33" s="14"/>
      <c r="U33" s="14"/>
      <c r="V33" s="15"/>
      <c r="W33" s="16"/>
      <c r="X33" s="17"/>
    </row>
    <row r="34" spans="2:24">
      <c r="B34" s="51" t="s">
        <v>309</v>
      </c>
      <c r="C34" s="52"/>
      <c r="D34" s="18"/>
      <c r="E34" s="19"/>
      <c r="F34" s="19"/>
      <c r="G34" s="20"/>
      <c r="H34" s="21">
        <f>SUM(H27:H33)</f>
        <v>0</v>
      </c>
      <c r="I34" s="18"/>
      <c r="J34" s="19"/>
      <c r="K34" s="19"/>
      <c r="L34" s="20"/>
      <c r="M34" s="21">
        <f>SUM(M27:M33)</f>
        <v>0</v>
      </c>
      <c r="N34" s="18"/>
      <c r="O34" s="19"/>
      <c r="P34" s="19"/>
      <c r="Q34" s="20"/>
      <c r="R34" s="21">
        <f>SUM(R27:R33)</f>
        <v>0</v>
      </c>
      <c r="S34" s="18"/>
      <c r="T34" s="19"/>
      <c r="U34" s="19"/>
      <c r="V34" s="20"/>
      <c r="W34" s="21">
        <f>SUM(W27:W33)</f>
        <v>0</v>
      </c>
      <c r="X34" s="22"/>
    </row>
    <row r="35" spans="2:24">
      <c r="B35" s="5">
        <v>43213</v>
      </c>
      <c r="C35" s="23" t="s">
        <v>71</v>
      </c>
      <c r="D35" s="6"/>
      <c r="E35" s="7"/>
      <c r="F35" s="7"/>
      <c r="G35" s="8"/>
      <c r="H35" s="9" t="str">
        <f>IF(G35="","",G35-8)</f>
        <v/>
      </c>
      <c r="I35" s="10"/>
      <c r="J35" s="7"/>
      <c r="K35" s="7"/>
      <c r="L35" s="8"/>
      <c r="M35" s="9" t="str">
        <f>IF(L35="","",L35-8)</f>
        <v/>
      </c>
      <c r="N35" s="10"/>
      <c r="O35" s="7"/>
      <c r="P35" s="7"/>
      <c r="Q35" s="8"/>
      <c r="R35" s="9" t="str">
        <f>IF(Q35="","",Q35-8)</f>
        <v/>
      </c>
      <c r="S35" s="6"/>
      <c r="T35" s="7"/>
      <c r="U35" s="7"/>
      <c r="V35" s="8"/>
      <c r="W35" s="9" t="str">
        <f>IF(V35="","",V35-8)</f>
        <v/>
      </c>
      <c r="X35" s="11"/>
    </row>
    <row r="36" spans="2:24">
      <c r="B36" s="5">
        <v>43214</v>
      </c>
      <c r="C36" s="23" t="s">
        <v>72</v>
      </c>
      <c r="D36" s="6"/>
      <c r="E36" s="7"/>
      <c r="F36" s="7"/>
      <c r="G36" s="8"/>
      <c r="H36" s="9" t="str">
        <f>IF(G36="","",G36-8)</f>
        <v/>
      </c>
      <c r="I36" s="10"/>
      <c r="J36" s="7"/>
      <c r="K36" s="7"/>
      <c r="L36" s="8"/>
      <c r="M36" s="9" t="str">
        <f>IF(L36="","",L36-8)</f>
        <v/>
      </c>
      <c r="N36" s="10"/>
      <c r="O36" s="7"/>
      <c r="P36" s="7"/>
      <c r="Q36" s="8"/>
      <c r="R36" s="9" t="str">
        <f>IF(Q36="","",Q36-8)</f>
        <v/>
      </c>
      <c r="S36" s="6"/>
      <c r="T36" s="7"/>
      <c r="U36" s="7"/>
      <c r="V36" s="8"/>
      <c r="W36" s="9" t="str">
        <f>IF(V36="","",V36-8)</f>
        <v/>
      </c>
      <c r="X36" s="11"/>
    </row>
    <row r="37" spans="2:24">
      <c r="B37" s="5">
        <v>43215</v>
      </c>
      <c r="C37" s="23" t="s">
        <v>73</v>
      </c>
      <c r="D37" s="6"/>
      <c r="E37" s="7"/>
      <c r="F37" s="7"/>
      <c r="G37" s="8"/>
      <c r="H37" s="9" t="str">
        <f>IF(G37="","",G37-8)</f>
        <v/>
      </c>
      <c r="I37" s="10"/>
      <c r="J37" s="7"/>
      <c r="K37" s="7"/>
      <c r="L37" s="8"/>
      <c r="M37" s="9" t="str">
        <f>IF(L37="","",L37-8)</f>
        <v/>
      </c>
      <c r="N37" s="10"/>
      <c r="O37" s="7"/>
      <c r="P37" s="7"/>
      <c r="Q37" s="8"/>
      <c r="R37" s="9" t="str">
        <f>IF(Q37="","",Q37-8)</f>
        <v/>
      </c>
      <c r="S37" s="6"/>
      <c r="T37" s="7"/>
      <c r="U37" s="7"/>
      <c r="V37" s="8"/>
      <c r="W37" s="9" t="str">
        <f>IF(V37="","",V37-8)</f>
        <v/>
      </c>
      <c r="X37" s="11"/>
    </row>
    <row r="38" spans="2:24">
      <c r="B38" s="5">
        <v>43216</v>
      </c>
      <c r="C38" s="23" t="s">
        <v>74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43217</v>
      </c>
      <c r="C39" s="23" t="s">
        <v>75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12">
        <v>43218</v>
      </c>
      <c r="C40" s="24" t="s">
        <v>76</v>
      </c>
      <c r="D40" s="13"/>
      <c r="E40" s="14"/>
      <c r="F40" s="14"/>
      <c r="G40" s="15"/>
      <c r="H40" s="16"/>
      <c r="I40" s="13"/>
      <c r="J40" s="14"/>
      <c r="K40" s="14"/>
      <c r="L40" s="15"/>
      <c r="M40" s="16"/>
      <c r="N40" s="13"/>
      <c r="O40" s="14"/>
      <c r="P40" s="14"/>
      <c r="Q40" s="15"/>
      <c r="R40" s="16"/>
      <c r="S40" s="13"/>
      <c r="T40" s="14"/>
      <c r="U40" s="14"/>
      <c r="V40" s="15"/>
      <c r="W40" s="16"/>
      <c r="X40" s="17"/>
    </row>
    <row r="41" spans="2:24">
      <c r="B41" s="12">
        <v>43219</v>
      </c>
      <c r="C41" s="24" t="s">
        <v>70</v>
      </c>
      <c r="D41" s="13"/>
      <c r="E41" s="14"/>
      <c r="F41" s="14"/>
      <c r="G41" s="15"/>
      <c r="H41" s="16"/>
      <c r="I41" s="13"/>
      <c r="J41" s="14"/>
      <c r="K41" s="14"/>
      <c r="L41" s="15"/>
      <c r="M41" s="16"/>
      <c r="N41" s="13"/>
      <c r="O41" s="14"/>
      <c r="P41" s="14"/>
      <c r="Q41" s="15"/>
      <c r="R41" s="16"/>
      <c r="S41" s="13"/>
      <c r="T41" s="14"/>
      <c r="U41" s="14"/>
      <c r="V41" s="15"/>
      <c r="W41" s="16"/>
      <c r="X41" s="17"/>
    </row>
    <row r="42" spans="2:24">
      <c r="B42" s="51" t="s">
        <v>309</v>
      </c>
      <c r="C42" s="52"/>
      <c r="D42" s="18"/>
      <c r="E42" s="19"/>
      <c r="F42" s="19"/>
      <c r="G42" s="20"/>
      <c r="H42" s="21">
        <f>SUM(H35:H41)</f>
        <v>0</v>
      </c>
      <c r="I42" s="18"/>
      <c r="J42" s="19"/>
      <c r="K42" s="19"/>
      <c r="L42" s="20"/>
      <c r="M42" s="21">
        <f>SUM(M35:M41)</f>
        <v>0</v>
      </c>
      <c r="N42" s="18"/>
      <c r="O42" s="19"/>
      <c r="P42" s="19"/>
      <c r="Q42" s="20"/>
      <c r="R42" s="21">
        <f>SUM(R35:R41)</f>
        <v>0</v>
      </c>
      <c r="S42" s="18"/>
      <c r="T42" s="19"/>
      <c r="U42" s="19"/>
      <c r="V42" s="20"/>
      <c r="W42" s="21">
        <f>SUM(W35:W41)</f>
        <v>0</v>
      </c>
      <c r="X42" s="22"/>
    </row>
    <row r="43" spans="2:24">
      <c r="B43" s="5">
        <v>43220</v>
      </c>
      <c r="C43" s="23" t="s">
        <v>13</v>
      </c>
      <c r="D43" s="6"/>
      <c r="E43" s="7"/>
      <c r="F43" s="7"/>
      <c r="G43" s="8"/>
      <c r="H43" s="9" t="str">
        <f>IF(G43="","",G43-8)</f>
        <v/>
      </c>
      <c r="I43" s="10"/>
      <c r="J43" s="7"/>
      <c r="K43" s="7"/>
      <c r="L43" s="8"/>
      <c r="M43" s="9" t="str">
        <f>IF(L43="","",L43-8)</f>
        <v/>
      </c>
      <c r="N43" s="10"/>
      <c r="O43" s="7"/>
      <c r="P43" s="7"/>
      <c r="Q43" s="8"/>
      <c r="R43" s="9" t="str">
        <f>IF(Q43="","",Q43-8)</f>
        <v/>
      </c>
      <c r="S43" s="6"/>
      <c r="T43" s="7"/>
      <c r="U43" s="7"/>
      <c r="V43" s="8"/>
      <c r="W43" s="9" t="str">
        <f>IF(V43="","",V43-8)</f>
        <v/>
      </c>
      <c r="X43" s="11"/>
    </row>
    <row r="44" spans="2:24">
      <c r="B44" s="50" t="s">
        <v>401</v>
      </c>
      <c r="C44" s="50"/>
      <c r="D44" s="1"/>
      <c r="E44" s="1"/>
      <c r="F44" s="1"/>
      <c r="G44" s="1"/>
      <c r="H44" s="25">
        <f>SUM(SUMIF($B$9:$B$50,"Total hours",H$9:H$50),'2018.3'!H$44:H$44)</f>
        <v>166</v>
      </c>
      <c r="I44" s="1"/>
      <c r="J44" s="1"/>
      <c r="K44" s="1"/>
      <c r="L44" s="1"/>
      <c r="M44" s="25">
        <f>SUM(SUMIF($B$9:$B$50,"Total hours",M$9:M$50),'2018.3'!M$44:M$44)</f>
        <v>95</v>
      </c>
      <c r="N44" s="1"/>
      <c r="O44" s="1"/>
      <c r="P44" s="1"/>
      <c r="Q44" s="1"/>
      <c r="R44" s="25">
        <f>SUM(SUMIF($B$9:$B$50,"Total hours",R$9:R$50),'2018.3'!R$44:R$44)</f>
        <v>61.5</v>
      </c>
      <c r="S44" s="1"/>
      <c r="T44" s="1"/>
      <c r="U44" s="1"/>
      <c r="V44" s="1"/>
      <c r="W44" s="25">
        <f>SUM(SUMIF($B$9:$B$50,"Total hours",W$9:W$50),'2018.3'!W$44:W$44)</f>
        <v>14.5</v>
      </c>
      <c r="X44" s="26"/>
    </row>
    <row r="46" spans="2:24">
      <c r="B46" s="27" t="s">
        <v>379</v>
      </c>
      <c r="C46" s="28"/>
      <c r="D46" s="28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0"/>
      <c r="R46" s="30"/>
      <c r="S46" s="31"/>
    </row>
    <row r="47" spans="2:24">
      <c r="B47" s="32" t="s">
        <v>380</v>
      </c>
      <c r="C47" s="33" t="s">
        <v>381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8"/>
      <c r="C48" s="34" t="s">
        <v>382</v>
      </c>
      <c r="D48" s="39"/>
      <c r="E48" s="35" t="s">
        <v>383</v>
      </c>
      <c r="F48" s="35"/>
      <c r="G48" s="34"/>
      <c r="H48" s="34"/>
      <c r="I48" s="34" t="s">
        <v>384</v>
      </c>
      <c r="J48" s="39"/>
      <c r="K48" s="35" t="s">
        <v>385</v>
      </c>
      <c r="L48" s="34"/>
      <c r="M48" s="34"/>
      <c r="N48" s="34"/>
      <c r="O48" s="34" t="s">
        <v>386</v>
      </c>
      <c r="P48" s="34"/>
      <c r="Q48" s="36" t="s">
        <v>387</v>
      </c>
      <c r="R48" s="36"/>
      <c r="S48" s="37"/>
    </row>
    <row r="49" spans="2:19">
      <c r="B49" s="38"/>
      <c r="C49" s="44" t="s">
        <v>388</v>
      </c>
      <c r="D49" s="45"/>
      <c r="E49" s="45"/>
      <c r="F49" s="45"/>
      <c r="G49" s="45"/>
      <c r="H49" s="45"/>
      <c r="I49" s="45"/>
      <c r="J49" s="45"/>
      <c r="K49" s="34"/>
      <c r="L49" s="34"/>
      <c r="M49" s="34"/>
      <c r="N49" s="46"/>
      <c r="O49" s="34"/>
      <c r="P49" s="34"/>
      <c r="Q49" s="36"/>
      <c r="R49" s="36"/>
      <c r="S49" s="37"/>
    </row>
    <row r="50" spans="2:19">
      <c r="B50" s="32" t="s">
        <v>389</v>
      </c>
      <c r="C50" s="33" t="s">
        <v>390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7" t="s">
        <v>391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8" t="s">
        <v>392</v>
      </c>
      <c r="D52" s="34"/>
      <c r="E52" s="35"/>
      <c r="F52" s="35" t="s">
        <v>393</v>
      </c>
      <c r="G52" s="34"/>
      <c r="H52" s="34"/>
      <c r="I52" s="34" t="s">
        <v>394</v>
      </c>
      <c r="J52" s="34"/>
      <c r="K52" s="34"/>
      <c r="L52" s="34" t="s">
        <v>395</v>
      </c>
      <c r="M52" s="34"/>
      <c r="N52" s="34"/>
      <c r="O52" s="34"/>
      <c r="P52" s="34"/>
      <c r="Q52" s="36"/>
      <c r="R52" s="36"/>
      <c r="S52" s="37"/>
    </row>
    <row r="53" spans="2:19">
      <c r="B53" s="38"/>
      <c r="C53" s="34"/>
      <c r="D53" s="34"/>
      <c r="E53" s="35"/>
      <c r="F53" s="35" t="s">
        <v>396</v>
      </c>
      <c r="G53" s="34"/>
      <c r="H53" s="34"/>
      <c r="I53" s="34" t="s">
        <v>397</v>
      </c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32" t="s">
        <v>398</v>
      </c>
      <c r="C54" s="33" t="s">
        <v>399</v>
      </c>
      <c r="D54" s="34"/>
      <c r="E54" s="35"/>
      <c r="F54" s="35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40"/>
      <c r="C55" s="41" t="s">
        <v>400</v>
      </c>
      <c r="D55" s="41"/>
      <c r="E55" s="42"/>
      <c r="F55" s="42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3"/>
      <c r="R55" s="43"/>
      <c r="S55" s="49"/>
    </row>
  </sheetData>
  <mergeCells count="14">
    <mergeCell ref="S7:W7"/>
    <mergeCell ref="X7:X8"/>
    <mergeCell ref="B4:X4"/>
    <mergeCell ref="B7:B8"/>
    <mergeCell ref="C7:C8"/>
    <mergeCell ref="D7:H7"/>
    <mergeCell ref="I7:M7"/>
    <mergeCell ref="N7:R7"/>
    <mergeCell ref="B10:C10"/>
    <mergeCell ref="B18:C18"/>
    <mergeCell ref="B26:C26"/>
    <mergeCell ref="B34:C34"/>
    <mergeCell ref="B42:C42"/>
    <mergeCell ref="B44:C4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X55"/>
  <sheetViews>
    <sheetView topLeftCell="A44" zoomScale="85" zoomScaleNormal="85" workbookViewId="0">
      <selection activeCell="B46" sqref="B46:S55"/>
    </sheetView>
  </sheetViews>
  <sheetFormatPr defaultRowHeight="15"/>
  <cols>
    <col min="2" max="2" width="9.7109375" bestFit="1" customWidth="1"/>
    <col min="24" max="24" width="10.570312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43221</v>
      </c>
      <c r="C9" s="23" t="s">
        <v>22</v>
      </c>
      <c r="D9" s="6"/>
      <c r="E9" s="7"/>
      <c r="F9" s="7"/>
      <c r="G9" s="8"/>
      <c r="H9" s="9" t="str">
        <f>IF(G9="","",G9-8)</f>
        <v/>
      </c>
      <c r="I9" s="10"/>
      <c r="J9" s="7"/>
      <c r="K9" s="7"/>
      <c r="L9" s="8"/>
      <c r="M9" s="9" t="str">
        <f>IF(L9="","",L9-8)</f>
        <v/>
      </c>
      <c r="N9" s="10"/>
      <c r="O9" s="7"/>
      <c r="P9" s="7"/>
      <c r="Q9" s="8"/>
      <c r="R9" s="9" t="str">
        <f>IF(Q9="","",Q9-8)</f>
        <v/>
      </c>
      <c r="S9" s="6"/>
      <c r="T9" s="7"/>
      <c r="U9" s="7"/>
      <c r="V9" s="8"/>
      <c r="W9" s="9" t="str">
        <f>IF(V9="","",V9-8)</f>
        <v/>
      </c>
      <c r="X9" s="11"/>
    </row>
    <row r="10" spans="2:24">
      <c r="B10" s="5">
        <v>43222</v>
      </c>
      <c r="C10" s="23" t="s">
        <v>78</v>
      </c>
      <c r="D10" s="6"/>
      <c r="E10" s="7"/>
      <c r="F10" s="7"/>
      <c r="G10" s="8"/>
      <c r="H10" s="9" t="str">
        <f>IF(G10="","",G10-8)</f>
        <v/>
      </c>
      <c r="I10" s="10"/>
      <c r="J10" s="7"/>
      <c r="K10" s="7"/>
      <c r="L10" s="8"/>
      <c r="M10" s="9" t="str">
        <f>IF(L10="","",L10-8)</f>
        <v/>
      </c>
      <c r="N10" s="10"/>
      <c r="O10" s="7"/>
      <c r="P10" s="7"/>
      <c r="Q10" s="8"/>
      <c r="R10" s="9" t="str">
        <f>IF(Q10="","",Q10-8)</f>
        <v/>
      </c>
      <c r="S10" s="6"/>
      <c r="T10" s="7"/>
      <c r="U10" s="7"/>
      <c r="V10" s="8"/>
      <c r="W10" s="9" t="str">
        <f>IF(V10="","",V10-8)</f>
        <v/>
      </c>
      <c r="X10" s="11"/>
    </row>
    <row r="11" spans="2:24">
      <c r="B11" s="5">
        <v>43223</v>
      </c>
      <c r="C11" s="23" t="s">
        <v>79</v>
      </c>
      <c r="D11" s="6"/>
      <c r="E11" s="7"/>
      <c r="F11" s="7"/>
      <c r="G11" s="8"/>
      <c r="H11" s="9" t="str">
        <f>IF(G11="","",G11-8)</f>
        <v/>
      </c>
      <c r="I11" s="10"/>
      <c r="J11" s="7"/>
      <c r="K11" s="7"/>
      <c r="L11" s="8"/>
      <c r="M11" s="9" t="str">
        <f>IF(L11="","",L11-8)</f>
        <v/>
      </c>
      <c r="N11" s="10"/>
      <c r="O11" s="7"/>
      <c r="P11" s="7"/>
      <c r="Q11" s="8"/>
      <c r="R11" s="9" t="str">
        <f>IF(Q11="","",Q11-8)</f>
        <v/>
      </c>
      <c r="S11" s="6"/>
      <c r="T11" s="7"/>
      <c r="U11" s="7"/>
      <c r="V11" s="8"/>
      <c r="W11" s="9" t="str">
        <f>IF(V11="","",V11-8)</f>
        <v/>
      </c>
      <c r="X11" s="11"/>
    </row>
    <row r="12" spans="2:24">
      <c r="B12" s="5">
        <v>43224</v>
      </c>
      <c r="C12" s="23" t="s">
        <v>80</v>
      </c>
      <c r="D12" s="6"/>
      <c r="E12" s="7"/>
      <c r="F12" s="7"/>
      <c r="G12" s="8"/>
      <c r="H12" s="9" t="str">
        <f>IF(G12="","",G12-8)</f>
        <v/>
      </c>
      <c r="I12" s="10"/>
      <c r="J12" s="7"/>
      <c r="K12" s="7"/>
      <c r="L12" s="8"/>
      <c r="M12" s="9" t="str">
        <f>IF(L12="","",L12-8)</f>
        <v/>
      </c>
      <c r="N12" s="10"/>
      <c r="O12" s="7"/>
      <c r="P12" s="7"/>
      <c r="Q12" s="8"/>
      <c r="R12" s="9" t="str">
        <f>IF(Q12="","",Q12-8)</f>
        <v/>
      </c>
      <c r="S12" s="6"/>
      <c r="T12" s="7"/>
      <c r="U12" s="7"/>
      <c r="V12" s="8"/>
      <c r="W12" s="9" t="str">
        <f>IF(V12="","",V12-8)</f>
        <v/>
      </c>
      <c r="X12" s="11"/>
    </row>
    <row r="13" spans="2:24">
      <c r="B13" s="12">
        <v>43225</v>
      </c>
      <c r="C13" s="24" t="s">
        <v>81</v>
      </c>
      <c r="D13" s="13"/>
      <c r="E13" s="14"/>
      <c r="F13" s="14"/>
      <c r="G13" s="15"/>
      <c r="H13" s="16"/>
      <c r="I13" s="13"/>
      <c r="J13" s="14"/>
      <c r="K13" s="14"/>
      <c r="L13" s="15"/>
      <c r="M13" s="16"/>
      <c r="N13" s="13"/>
      <c r="O13" s="14"/>
      <c r="P13" s="14"/>
      <c r="Q13" s="15"/>
      <c r="R13" s="16"/>
      <c r="S13" s="13"/>
      <c r="T13" s="14"/>
      <c r="U13" s="14"/>
      <c r="V13" s="15"/>
      <c r="W13" s="16"/>
      <c r="X13" s="17"/>
    </row>
    <row r="14" spans="2:24">
      <c r="B14" s="12">
        <v>43226</v>
      </c>
      <c r="C14" s="24" t="s">
        <v>77</v>
      </c>
      <c r="D14" s="13"/>
      <c r="E14" s="14"/>
      <c r="F14" s="14"/>
      <c r="G14" s="15"/>
      <c r="H14" s="16"/>
      <c r="I14" s="13"/>
      <c r="J14" s="14"/>
      <c r="K14" s="14"/>
      <c r="L14" s="15"/>
      <c r="M14" s="16"/>
      <c r="N14" s="13"/>
      <c r="O14" s="14"/>
      <c r="P14" s="14"/>
      <c r="Q14" s="15"/>
      <c r="R14" s="16"/>
      <c r="S14" s="13"/>
      <c r="T14" s="14"/>
      <c r="U14" s="14"/>
      <c r="V14" s="15"/>
      <c r="W14" s="16"/>
      <c r="X14" s="17"/>
    </row>
    <row r="15" spans="2:24">
      <c r="B15" s="51" t="s">
        <v>309</v>
      </c>
      <c r="C15" s="52"/>
      <c r="D15" s="18"/>
      <c r="E15" s="19"/>
      <c r="F15" s="19"/>
      <c r="G15" s="20"/>
      <c r="H15" s="21">
        <f>SUM(H$9:H14,'2018.4'!H$43:H$43)</f>
        <v>0</v>
      </c>
      <c r="I15" s="18"/>
      <c r="J15" s="19"/>
      <c r="K15" s="19"/>
      <c r="L15" s="20"/>
      <c r="M15" s="21">
        <f>SUM(M$9:M14,'2018.4'!M$43:M$43)</f>
        <v>0</v>
      </c>
      <c r="N15" s="18"/>
      <c r="O15" s="19"/>
      <c r="P15" s="19"/>
      <c r="Q15" s="20"/>
      <c r="R15" s="21">
        <f>SUM(R$9:R14,'2018.4'!R$43:R$43)</f>
        <v>0</v>
      </c>
      <c r="S15" s="18"/>
      <c r="T15" s="19"/>
      <c r="U15" s="19"/>
      <c r="V15" s="20"/>
      <c r="W15" s="21">
        <f>SUM(W$9:W14,'2018.4'!W$43:W$43)</f>
        <v>0</v>
      </c>
      <c r="X15" s="22"/>
    </row>
    <row r="16" spans="2:24">
      <c r="B16" s="5">
        <v>43227</v>
      </c>
      <c r="C16" s="23" t="s">
        <v>82</v>
      </c>
      <c r="D16" s="6"/>
      <c r="E16" s="7"/>
      <c r="F16" s="7"/>
      <c r="G16" s="8"/>
      <c r="H16" s="9" t="str">
        <f>IF(G16="","",G16-8)</f>
        <v/>
      </c>
      <c r="I16" s="10"/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/>
      <c r="T16" s="7"/>
      <c r="U16" s="7"/>
      <c r="V16" s="8"/>
      <c r="W16" s="9" t="str">
        <f>IF(V16="","",V16-8)</f>
        <v/>
      </c>
      <c r="X16" s="11"/>
    </row>
    <row r="17" spans="2:24">
      <c r="B17" s="5">
        <v>43228</v>
      </c>
      <c r="C17" s="23" t="s">
        <v>83</v>
      </c>
      <c r="D17" s="6"/>
      <c r="E17" s="7"/>
      <c r="F17" s="7"/>
      <c r="G17" s="8"/>
      <c r="H17" s="9" t="str">
        <f>IF(G17="","",G17-8)</f>
        <v/>
      </c>
      <c r="I17" s="10"/>
      <c r="J17" s="7"/>
      <c r="K17" s="7"/>
      <c r="L17" s="8"/>
      <c r="M17" s="9" t="str">
        <f>IF(L17="","",L17-8)</f>
        <v/>
      </c>
      <c r="N17" s="10"/>
      <c r="O17" s="7"/>
      <c r="P17" s="7"/>
      <c r="Q17" s="8"/>
      <c r="R17" s="9" t="str">
        <f>IF(Q17="","",Q17-8)</f>
        <v/>
      </c>
      <c r="S17" s="6"/>
      <c r="T17" s="7"/>
      <c r="U17" s="7"/>
      <c r="V17" s="8"/>
      <c r="W17" s="9" t="str">
        <f>IF(V17="","",V17-8)</f>
        <v/>
      </c>
      <c r="X17" s="11"/>
    </row>
    <row r="18" spans="2:24">
      <c r="B18" s="5">
        <v>43229</v>
      </c>
      <c r="C18" s="23" t="s">
        <v>84</v>
      </c>
      <c r="D18" s="6"/>
      <c r="E18" s="7"/>
      <c r="F18" s="7"/>
      <c r="G18" s="8"/>
      <c r="H18" s="9" t="str">
        <f>IF(G18="","",G18-8)</f>
        <v/>
      </c>
      <c r="I18" s="10"/>
      <c r="J18" s="7"/>
      <c r="K18" s="7"/>
      <c r="L18" s="8"/>
      <c r="M18" s="9" t="str">
        <f>IF(L18="","",L18-8)</f>
        <v/>
      </c>
      <c r="N18" s="10"/>
      <c r="O18" s="7"/>
      <c r="P18" s="7"/>
      <c r="Q18" s="8"/>
      <c r="R18" s="9" t="str">
        <f>IF(Q18="","",Q18-8)</f>
        <v/>
      </c>
      <c r="S18" s="6"/>
      <c r="T18" s="7"/>
      <c r="U18" s="7"/>
      <c r="V18" s="8"/>
      <c r="W18" s="9" t="str">
        <f>IF(V18="","",V18-8)</f>
        <v/>
      </c>
      <c r="X18" s="11"/>
    </row>
    <row r="19" spans="2:24">
      <c r="B19" s="5">
        <v>43230</v>
      </c>
      <c r="C19" s="23" t="s">
        <v>85</v>
      </c>
      <c r="D19" s="6"/>
      <c r="E19" s="7"/>
      <c r="F19" s="7"/>
      <c r="G19" s="8"/>
      <c r="H19" s="9" t="str">
        <f>IF(G19="","",G19-8)</f>
        <v/>
      </c>
      <c r="I19" s="10"/>
      <c r="J19" s="7"/>
      <c r="K19" s="7"/>
      <c r="L19" s="8"/>
      <c r="M19" s="9" t="str">
        <f>IF(L19="","",L19-8)</f>
        <v/>
      </c>
      <c r="N19" s="10"/>
      <c r="O19" s="7"/>
      <c r="P19" s="7"/>
      <c r="Q19" s="8"/>
      <c r="R19" s="9" t="str">
        <f>IF(Q19="","",Q19-8)</f>
        <v/>
      </c>
      <c r="S19" s="6"/>
      <c r="T19" s="7"/>
      <c r="U19" s="7"/>
      <c r="V19" s="8"/>
      <c r="W19" s="9" t="str">
        <f>IF(V19="","",V19-8)</f>
        <v/>
      </c>
      <c r="X19" s="11"/>
    </row>
    <row r="20" spans="2:24">
      <c r="B20" s="5">
        <v>43231</v>
      </c>
      <c r="C20" s="23" t="s">
        <v>86</v>
      </c>
      <c r="D20" s="6"/>
      <c r="E20" s="7"/>
      <c r="F20" s="7"/>
      <c r="G20" s="8"/>
      <c r="H20" s="9" t="str">
        <f>IF(G20="","",G20-8)</f>
        <v/>
      </c>
      <c r="I20" s="10"/>
      <c r="J20" s="7"/>
      <c r="K20" s="7"/>
      <c r="L20" s="8"/>
      <c r="M20" s="9" t="str">
        <f>IF(L20="","",L20-8)</f>
        <v/>
      </c>
      <c r="N20" s="10"/>
      <c r="O20" s="7"/>
      <c r="P20" s="7"/>
      <c r="Q20" s="8"/>
      <c r="R20" s="9" t="str">
        <f>IF(Q20="","",Q20-8)</f>
        <v/>
      </c>
      <c r="S20" s="6"/>
      <c r="T20" s="7"/>
      <c r="U20" s="7"/>
      <c r="V20" s="8"/>
      <c r="W20" s="9" t="str">
        <f>IF(V20="","",V20-8)</f>
        <v/>
      </c>
      <c r="X20" s="11"/>
    </row>
    <row r="21" spans="2:24">
      <c r="B21" s="12">
        <v>43232</v>
      </c>
      <c r="C21" s="24" t="s">
        <v>87</v>
      </c>
      <c r="D21" s="13"/>
      <c r="E21" s="14"/>
      <c r="F21" s="14"/>
      <c r="G21" s="15"/>
      <c r="H21" s="16"/>
      <c r="I21" s="13"/>
      <c r="J21" s="14"/>
      <c r="K21" s="14"/>
      <c r="L21" s="15"/>
      <c r="M21" s="16"/>
      <c r="N21" s="13"/>
      <c r="O21" s="14"/>
      <c r="P21" s="14"/>
      <c r="Q21" s="15"/>
      <c r="R21" s="16"/>
      <c r="S21" s="13"/>
      <c r="T21" s="14"/>
      <c r="U21" s="14"/>
      <c r="V21" s="15"/>
      <c r="W21" s="16"/>
      <c r="X21" s="17"/>
    </row>
    <row r="22" spans="2:24">
      <c r="B22" s="12">
        <v>43233</v>
      </c>
      <c r="C22" s="24" t="s">
        <v>3</v>
      </c>
      <c r="D22" s="13"/>
      <c r="E22" s="14"/>
      <c r="F22" s="14"/>
      <c r="G22" s="15"/>
      <c r="H22" s="16"/>
      <c r="I22" s="13"/>
      <c r="J22" s="14"/>
      <c r="K22" s="14"/>
      <c r="L22" s="15"/>
      <c r="M22" s="16"/>
      <c r="N22" s="13"/>
      <c r="O22" s="14"/>
      <c r="P22" s="14"/>
      <c r="Q22" s="15"/>
      <c r="R22" s="16"/>
      <c r="S22" s="13"/>
      <c r="T22" s="14"/>
      <c r="U22" s="14"/>
      <c r="V22" s="15"/>
      <c r="W22" s="16"/>
      <c r="X22" s="17"/>
    </row>
    <row r="23" spans="2:24">
      <c r="B23" s="51" t="s">
        <v>309</v>
      </c>
      <c r="C23" s="52"/>
      <c r="D23" s="18"/>
      <c r="E23" s="19"/>
      <c r="F23" s="19"/>
      <c r="G23" s="20"/>
      <c r="H23" s="21">
        <f>SUM(H16:H22)</f>
        <v>0</v>
      </c>
      <c r="I23" s="18"/>
      <c r="J23" s="19"/>
      <c r="K23" s="19"/>
      <c r="L23" s="20"/>
      <c r="M23" s="21">
        <f>SUM(M16:M22)</f>
        <v>0</v>
      </c>
      <c r="N23" s="18"/>
      <c r="O23" s="19"/>
      <c r="P23" s="19"/>
      <c r="Q23" s="20"/>
      <c r="R23" s="21">
        <f>SUM(R16:R22)</f>
        <v>0</v>
      </c>
      <c r="S23" s="18"/>
      <c r="T23" s="19"/>
      <c r="U23" s="19"/>
      <c r="V23" s="20"/>
      <c r="W23" s="21">
        <f>SUM(W16:W22)</f>
        <v>0</v>
      </c>
      <c r="X23" s="22"/>
    </row>
    <row r="24" spans="2:24">
      <c r="B24" s="5">
        <v>43234</v>
      </c>
      <c r="C24" s="23" t="s">
        <v>89</v>
      </c>
      <c r="D24" s="6"/>
      <c r="E24" s="7"/>
      <c r="F24" s="7"/>
      <c r="G24" s="8"/>
      <c r="H24" s="9" t="str">
        <f>IF(G24="","",G24-8)</f>
        <v/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5">
        <v>43235</v>
      </c>
      <c r="C25" s="23" t="s">
        <v>90</v>
      </c>
      <c r="D25" s="6"/>
      <c r="E25" s="7"/>
      <c r="F25" s="7"/>
      <c r="G25" s="8"/>
      <c r="H25" s="9" t="str">
        <f>IF(G25="","",G25-8)</f>
        <v/>
      </c>
      <c r="I25" s="10"/>
      <c r="J25" s="7"/>
      <c r="K25" s="7"/>
      <c r="L25" s="8"/>
      <c r="M25" s="9" t="str">
        <f>IF(L25="","",L25-8)</f>
        <v/>
      </c>
      <c r="N25" s="10"/>
      <c r="O25" s="7"/>
      <c r="P25" s="7"/>
      <c r="Q25" s="8"/>
      <c r="R25" s="9" t="str">
        <f>IF(Q25="","",Q25-8)</f>
        <v/>
      </c>
      <c r="S25" s="6"/>
      <c r="T25" s="7"/>
      <c r="U25" s="7"/>
      <c r="V25" s="8"/>
      <c r="W25" s="9" t="str">
        <f>IF(V25="","",V25-8)</f>
        <v/>
      </c>
      <c r="X25" s="11"/>
    </row>
    <row r="26" spans="2:24">
      <c r="B26" s="5">
        <v>43236</v>
      </c>
      <c r="C26" s="23" t="s">
        <v>91</v>
      </c>
      <c r="D26" s="6"/>
      <c r="E26" s="7"/>
      <c r="F26" s="7"/>
      <c r="G26" s="8"/>
      <c r="H26" s="9" t="str">
        <f>IF(G26="","",G26-8)</f>
        <v/>
      </c>
      <c r="I26" s="10"/>
      <c r="J26" s="7"/>
      <c r="K26" s="7"/>
      <c r="L26" s="8"/>
      <c r="M26" s="9" t="str">
        <f>IF(L26="","",L26-8)</f>
        <v/>
      </c>
      <c r="N26" s="10"/>
      <c r="O26" s="7"/>
      <c r="P26" s="7"/>
      <c r="Q26" s="8"/>
      <c r="R26" s="9" t="str">
        <f>IF(Q26="","",Q26-8)</f>
        <v/>
      </c>
      <c r="S26" s="6"/>
      <c r="T26" s="7"/>
      <c r="U26" s="7"/>
      <c r="V26" s="8"/>
      <c r="W26" s="9" t="str">
        <f>IF(V26="","",V26-8)</f>
        <v/>
      </c>
      <c r="X26" s="11"/>
    </row>
    <row r="27" spans="2:24">
      <c r="B27" s="5">
        <v>43237</v>
      </c>
      <c r="C27" s="23" t="s">
        <v>92</v>
      </c>
      <c r="D27" s="6"/>
      <c r="E27" s="7"/>
      <c r="F27" s="7"/>
      <c r="G27" s="8"/>
      <c r="H27" s="9" t="str">
        <f>IF(G27="","",G27-8)</f>
        <v/>
      </c>
      <c r="I27" s="10"/>
      <c r="J27" s="7"/>
      <c r="K27" s="7"/>
      <c r="L27" s="8"/>
      <c r="M27" s="9" t="str">
        <f>IF(L27="","",L27-8)</f>
        <v/>
      </c>
      <c r="N27" s="10"/>
      <c r="O27" s="7"/>
      <c r="P27" s="7"/>
      <c r="Q27" s="8"/>
      <c r="R27" s="9" t="str">
        <f>IF(Q27="","",Q27-8)</f>
        <v/>
      </c>
      <c r="S27" s="6"/>
      <c r="T27" s="7"/>
      <c r="U27" s="7"/>
      <c r="V27" s="8"/>
      <c r="W27" s="9" t="str">
        <f>IF(V27="","",V27-8)</f>
        <v/>
      </c>
      <c r="X27" s="11"/>
    </row>
    <row r="28" spans="2:24">
      <c r="B28" s="5">
        <v>43238</v>
      </c>
      <c r="C28" s="23" t="s">
        <v>93</v>
      </c>
      <c r="D28" s="6"/>
      <c r="E28" s="7"/>
      <c r="F28" s="7"/>
      <c r="G28" s="8"/>
      <c r="H28" s="9" t="str">
        <f>IF(G28="","",G28-8)</f>
        <v/>
      </c>
      <c r="I28" s="10"/>
      <c r="J28" s="7"/>
      <c r="K28" s="7"/>
      <c r="L28" s="8"/>
      <c r="M28" s="9" t="str">
        <f>IF(L28="","",L28-8)</f>
        <v/>
      </c>
      <c r="N28" s="10"/>
      <c r="O28" s="7"/>
      <c r="P28" s="7"/>
      <c r="Q28" s="8"/>
      <c r="R28" s="9" t="str">
        <f>IF(Q28="","",Q28-8)</f>
        <v/>
      </c>
      <c r="S28" s="6"/>
      <c r="T28" s="7"/>
      <c r="U28" s="7"/>
      <c r="V28" s="8"/>
      <c r="W28" s="9" t="str">
        <f>IF(V28="","",V28-8)</f>
        <v/>
      </c>
      <c r="X28" s="11"/>
    </row>
    <row r="29" spans="2:24">
      <c r="B29" s="12">
        <v>43239</v>
      </c>
      <c r="C29" s="24" t="s">
        <v>94</v>
      </c>
      <c r="D29" s="13"/>
      <c r="E29" s="14"/>
      <c r="F29" s="14"/>
      <c r="G29" s="15"/>
      <c r="H29" s="16"/>
      <c r="I29" s="13"/>
      <c r="J29" s="14"/>
      <c r="K29" s="14"/>
      <c r="L29" s="15"/>
      <c r="M29" s="16"/>
      <c r="N29" s="13"/>
      <c r="O29" s="14"/>
      <c r="P29" s="14"/>
      <c r="Q29" s="15"/>
      <c r="R29" s="16"/>
      <c r="S29" s="13"/>
      <c r="T29" s="14"/>
      <c r="U29" s="14"/>
      <c r="V29" s="15"/>
      <c r="W29" s="16"/>
      <c r="X29" s="17"/>
    </row>
    <row r="30" spans="2:24">
      <c r="B30" s="12">
        <v>43240</v>
      </c>
      <c r="C30" s="24" t="s">
        <v>88</v>
      </c>
      <c r="D30" s="13"/>
      <c r="E30" s="14"/>
      <c r="F30" s="14"/>
      <c r="G30" s="15"/>
      <c r="H30" s="16"/>
      <c r="I30" s="13"/>
      <c r="J30" s="14"/>
      <c r="K30" s="14"/>
      <c r="L30" s="15"/>
      <c r="M30" s="16"/>
      <c r="N30" s="13"/>
      <c r="O30" s="14"/>
      <c r="P30" s="14"/>
      <c r="Q30" s="15"/>
      <c r="R30" s="16"/>
      <c r="S30" s="13"/>
      <c r="T30" s="14"/>
      <c r="U30" s="14"/>
      <c r="V30" s="15"/>
      <c r="W30" s="16"/>
      <c r="X30" s="17"/>
    </row>
    <row r="31" spans="2:24">
      <c r="B31" s="51" t="s">
        <v>309</v>
      </c>
      <c r="C31" s="52"/>
      <c r="D31" s="18"/>
      <c r="E31" s="19"/>
      <c r="F31" s="19"/>
      <c r="G31" s="20"/>
      <c r="H31" s="21">
        <f>SUM(H24:H30)</f>
        <v>0</v>
      </c>
      <c r="I31" s="18"/>
      <c r="J31" s="19"/>
      <c r="K31" s="19"/>
      <c r="L31" s="20"/>
      <c r="M31" s="21">
        <f>SUM(M24:M30)</f>
        <v>0</v>
      </c>
      <c r="N31" s="18"/>
      <c r="O31" s="19"/>
      <c r="P31" s="19"/>
      <c r="Q31" s="20"/>
      <c r="R31" s="21">
        <f>SUM(R24:R30)</f>
        <v>0</v>
      </c>
      <c r="S31" s="18"/>
      <c r="T31" s="19"/>
      <c r="U31" s="19"/>
      <c r="V31" s="20"/>
      <c r="W31" s="21">
        <f>SUM(W24:W30)</f>
        <v>0</v>
      </c>
      <c r="X31" s="22"/>
    </row>
    <row r="32" spans="2:24">
      <c r="B32" s="5">
        <v>43241</v>
      </c>
      <c r="C32" s="23" t="s">
        <v>96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5">
        <v>43242</v>
      </c>
      <c r="C33" s="23" t="s">
        <v>97</v>
      </c>
      <c r="D33" s="6"/>
      <c r="E33" s="7"/>
      <c r="F33" s="7"/>
      <c r="G33" s="8"/>
      <c r="H33" s="9" t="str">
        <f>IF(G33="","",G33-8)</f>
        <v/>
      </c>
      <c r="I33" s="10"/>
      <c r="J33" s="7"/>
      <c r="K33" s="7"/>
      <c r="L33" s="8"/>
      <c r="M33" s="9" t="str">
        <f>IF(L33="","",L33-8)</f>
        <v/>
      </c>
      <c r="N33" s="10"/>
      <c r="O33" s="7"/>
      <c r="P33" s="7"/>
      <c r="Q33" s="8"/>
      <c r="R33" s="9" t="str">
        <f>IF(Q33="","",Q33-8)</f>
        <v/>
      </c>
      <c r="S33" s="6"/>
      <c r="T33" s="7"/>
      <c r="U33" s="7"/>
      <c r="V33" s="8"/>
      <c r="W33" s="9" t="str">
        <f>IF(V33="","",V33-8)</f>
        <v/>
      </c>
      <c r="X33" s="11"/>
    </row>
    <row r="34" spans="2:24">
      <c r="B34" s="5">
        <v>43243</v>
      </c>
      <c r="C34" s="23" t="s">
        <v>98</v>
      </c>
      <c r="D34" s="6"/>
      <c r="E34" s="7"/>
      <c r="F34" s="7"/>
      <c r="G34" s="8"/>
      <c r="H34" s="9" t="str">
        <f>IF(G34="","",G34-8)</f>
        <v/>
      </c>
      <c r="I34" s="10"/>
      <c r="J34" s="7"/>
      <c r="K34" s="7"/>
      <c r="L34" s="8"/>
      <c r="M34" s="9" t="str">
        <f>IF(L34="","",L34-8)</f>
        <v/>
      </c>
      <c r="N34" s="10"/>
      <c r="O34" s="7"/>
      <c r="P34" s="7"/>
      <c r="Q34" s="8"/>
      <c r="R34" s="9" t="str">
        <f>IF(Q34="","",Q34-8)</f>
        <v/>
      </c>
      <c r="S34" s="6"/>
      <c r="T34" s="7"/>
      <c r="U34" s="7"/>
      <c r="V34" s="8"/>
      <c r="W34" s="9" t="str">
        <f>IF(V34="","",V34-8)</f>
        <v/>
      </c>
      <c r="X34" s="11"/>
    </row>
    <row r="35" spans="2:24">
      <c r="B35" s="5">
        <v>43244</v>
      </c>
      <c r="C35" s="23" t="s">
        <v>99</v>
      </c>
      <c r="D35" s="6"/>
      <c r="E35" s="7"/>
      <c r="F35" s="7"/>
      <c r="G35" s="8"/>
      <c r="H35" s="9" t="str">
        <f>IF(G35="","",G35-8)</f>
        <v/>
      </c>
      <c r="I35" s="10"/>
      <c r="J35" s="7"/>
      <c r="K35" s="7"/>
      <c r="L35" s="8"/>
      <c r="M35" s="9" t="str">
        <f>IF(L35="","",L35-8)</f>
        <v/>
      </c>
      <c r="N35" s="10"/>
      <c r="O35" s="7"/>
      <c r="P35" s="7"/>
      <c r="Q35" s="8"/>
      <c r="R35" s="9" t="str">
        <f>IF(Q35="","",Q35-8)</f>
        <v/>
      </c>
      <c r="S35" s="6"/>
      <c r="T35" s="7"/>
      <c r="U35" s="7"/>
      <c r="V35" s="8"/>
      <c r="W35" s="9" t="str">
        <f>IF(V35="","",V35-8)</f>
        <v/>
      </c>
      <c r="X35" s="11"/>
    </row>
    <row r="36" spans="2:24">
      <c r="B36" s="5">
        <v>43245</v>
      </c>
      <c r="C36" s="23" t="s">
        <v>100</v>
      </c>
      <c r="D36" s="6"/>
      <c r="E36" s="7"/>
      <c r="F36" s="7"/>
      <c r="G36" s="8"/>
      <c r="H36" s="9" t="str">
        <f>IF(G36="","",G36-8)</f>
        <v/>
      </c>
      <c r="I36" s="10"/>
      <c r="J36" s="7"/>
      <c r="K36" s="7"/>
      <c r="L36" s="8"/>
      <c r="M36" s="9" t="str">
        <f>IF(L36="","",L36-8)</f>
        <v/>
      </c>
      <c r="N36" s="10"/>
      <c r="O36" s="7"/>
      <c r="P36" s="7"/>
      <c r="Q36" s="8"/>
      <c r="R36" s="9" t="str">
        <f>IF(Q36="","",Q36-8)</f>
        <v/>
      </c>
      <c r="S36" s="6"/>
      <c r="T36" s="7"/>
      <c r="U36" s="7"/>
      <c r="V36" s="8"/>
      <c r="W36" s="9" t="str">
        <f>IF(V36="","",V36-8)</f>
        <v/>
      </c>
      <c r="X36" s="11"/>
    </row>
    <row r="37" spans="2:24">
      <c r="B37" s="12">
        <v>43246</v>
      </c>
      <c r="C37" s="24" t="s">
        <v>101</v>
      </c>
      <c r="D37" s="13"/>
      <c r="E37" s="14"/>
      <c r="F37" s="14"/>
      <c r="G37" s="15"/>
      <c r="H37" s="16"/>
      <c r="I37" s="13"/>
      <c r="J37" s="14"/>
      <c r="K37" s="14"/>
      <c r="L37" s="15"/>
      <c r="M37" s="16"/>
      <c r="N37" s="13"/>
      <c r="O37" s="14"/>
      <c r="P37" s="14"/>
      <c r="Q37" s="15"/>
      <c r="R37" s="16"/>
      <c r="S37" s="13"/>
      <c r="T37" s="14"/>
      <c r="U37" s="14"/>
      <c r="V37" s="15"/>
      <c r="W37" s="16"/>
      <c r="X37" s="17"/>
    </row>
    <row r="38" spans="2:24">
      <c r="B38" s="12">
        <v>43247</v>
      </c>
      <c r="C38" s="24" t="s">
        <v>95</v>
      </c>
      <c r="D38" s="13"/>
      <c r="E38" s="14"/>
      <c r="F38" s="14"/>
      <c r="G38" s="15"/>
      <c r="H38" s="16"/>
      <c r="I38" s="13"/>
      <c r="J38" s="14"/>
      <c r="K38" s="14"/>
      <c r="L38" s="15"/>
      <c r="M38" s="16"/>
      <c r="N38" s="13"/>
      <c r="O38" s="14"/>
      <c r="P38" s="14"/>
      <c r="Q38" s="15"/>
      <c r="R38" s="16"/>
      <c r="S38" s="13"/>
      <c r="T38" s="14"/>
      <c r="U38" s="14"/>
      <c r="V38" s="15"/>
      <c r="W38" s="16"/>
      <c r="X38" s="17"/>
    </row>
    <row r="39" spans="2:24">
      <c r="B39" s="51" t="s">
        <v>309</v>
      </c>
      <c r="C39" s="52"/>
      <c r="D39" s="18"/>
      <c r="E39" s="19"/>
      <c r="F39" s="19"/>
      <c r="G39" s="20"/>
      <c r="H39" s="21">
        <f>SUM(H32:H38)</f>
        <v>0</v>
      </c>
      <c r="I39" s="18"/>
      <c r="J39" s="19"/>
      <c r="K39" s="19"/>
      <c r="L39" s="20"/>
      <c r="M39" s="21">
        <f>SUM(M32:M38)</f>
        <v>0</v>
      </c>
      <c r="N39" s="18"/>
      <c r="O39" s="19"/>
      <c r="P39" s="19"/>
      <c r="Q39" s="20"/>
      <c r="R39" s="21">
        <f>SUM(R32:R38)</f>
        <v>0</v>
      </c>
      <c r="S39" s="18"/>
      <c r="T39" s="19"/>
      <c r="U39" s="19"/>
      <c r="V39" s="20"/>
      <c r="W39" s="21">
        <f>SUM(W32:W38)</f>
        <v>0</v>
      </c>
      <c r="X39" s="22"/>
    </row>
    <row r="40" spans="2:24">
      <c r="B40" s="5">
        <v>43248</v>
      </c>
      <c r="C40" s="23" t="s">
        <v>103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5">
        <v>43249</v>
      </c>
      <c r="C41" s="23" t="s">
        <v>104</v>
      </c>
      <c r="D41" s="6"/>
      <c r="E41" s="7"/>
      <c r="F41" s="7"/>
      <c r="G41" s="8"/>
      <c r="H41" s="9" t="str">
        <f>IF(G41="","",G41-8)</f>
        <v/>
      </c>
      <c r="I41" s="10"/>
      <c r="J41" s="7"/>
      <c r="K41" s="7"/>
      <c r="L41" s="8"/>
      <c r="M41" s="9" t="str">
        <f>IF(L41="","",L41-8)</f>
        <v/>
      </c>
      <c r="N41" s="10"/>
      <c r="O41" s="7"/>
      <c r="P41" s="7"/>
      <c r="Q41" s="8"/>
      <c r="R41" s="9" t="str">
        <f>IF(Q41="","",Q41-8)</f>
        <v/>
      </c>
      <c r="S41" s="6"/>
      <c r="T41" s="7"/>
      <c r="U41" s="7"/>
      <c r="V41" s="8"/>
      <c r="W41" s="9" t="str">
        <f>IF(V41="","",V41-8)</f>
        <v/>
      </c>
      <c r="X41" s="11"/>
    </row>
    <row r="42" spans="2:24">
      <c r="B42" s="5">
        <v>43250</v>
      </c>
      <c r="C42" s="23" t="s">
        <v>105</v>
      </c>
      <c r="D42" s="6"/>
      <c r="E42" s="7"/>
      <c r="F42" s="7"/>
      <c r="G42" s="8"/>
      <c r="H42" s="9" t="str">
        <f>IF(G42="","",G42-8)</f>
        <v/>
      </c>
      <c r="I42" s="10"/>
      <c r="J42" s="7"/>
      <c r="K42" s="7"/>
      <c r="L42" s="8"/>
      <c r="M42" s="9" t="str">
        <f>IF(L42="","",L42-8)</f>
        <v/>
      </c>
      <c r="N42" s="10"/>
      <c r="O42" s="7"/>
      <c r="P42" s="7"/>
      <c r="Q42" s="8"/>
      <c r="R42" s="9" t="str">
        <f>IF(Q42="","",Q42-8)</f>
        <v/>
      </c>
      <c r="S42" s="6"/>
      <c r="T42" s="7"/>
      <c r="U42" s="7"/>
      <c r="V42" s="8"/>
      <c r="W42" s="9" t="str">
        <f>IF(V42="","",V42-8)</f>
        <v/>
      </c>
      <c r="X42" s="11"/>
    </row>
    <row r="43" spans="2:24">
      <c r="B43" s="5">
        <v>43251</v>
      </c>
      <c r="C43" s="23" t="s">
        <v>14</v>
      </c>
      <c r="D43" s="6"/>
      <c r="E43" s="7"/>
      <c r="F43" s="7"/>
      <c r="G43" s="8"/>
      <c r="H43" s="9" t="str">
        <f>IF(G43="","",G43-8)</f>
        <v/>
      </c>
      <c r="I43" s="10"/>
      <c r="J43" s="7"/>
      <c r="K43" s="7"/>
      <c r="L43" s="8"/>
      <c r="M43" s="9" t="str">
        <f>IF(L43="","",L43-8)</f>
        <v/>
      </c>
      <c r="N43" s="10"/>
      <c r="O43" s="7"/>
      <c r="P43" s="7"/>
      <c r="Q43" s="8"/>
      <c r="R43" s="9" t="str">
        <f>IF(Q43="","",Q43-8)</f>
        <v/>
      </c>
      <c r="S43" s="6"/>
      <c r="T43" s="7"/>
      <c r="U43" s="7"/>
      <c r="V43" s="8"/>
      <c r="W43" s="9" t="str">
        <f>IF(V43="","",V43-8)</f>
        <v/>
      </c>
      <c r="X43" s="11"/>
    </row>
    <row r="44" spans="2:24">
      <c r="B44" s="50" t="s">
        <v>401</v>
      </c>
      <c r="C44" s="50"/>
      <c r="D44" s="1"/>
      <c r="E44" s="1"/>
      <c r="F44" s="1"/>
      <c r="G44" s="1"/>
      <c r="H44" s="25">
        <f>SUM(SUMIF($B$9:$B$50,"Total hours",H$9:H$50),'2018.4'!H$44:H$44)</f>
        <v>166</v>
      </c>
      <c r="I44" s="1"/>
      <c r="J44" s="1"/>
      <c r="K44" s="1"/>
      <c r="L44" s="1"/>
      <c r="M44" s="25">
        <f>SUM(SUMIF($B$9:$B$50,"Total hours",M$9:M$50),'2018.4'!M$44:M$44)</f>
        <v>95</v>
      </c>
      <c r="N44" s="1"/>
      <c r="O44" s="1"/>
      <c r="P44" s="1"/>
      <c r="Q44" s="1"/>
      <c r="R44" s="25">
        <f>SUM(SUMIF($B$9:$B$50,"Total hours",R$9:R$50),'2018.4'!R$44:R$44)</f>
        <v>61.5</v>
      </c>
      <c r="S44" s="1"/>
      <c r="T44" s="1"/>
      <c r="U44" s="1"/>
      <c r="V44" s="1"/>
      <c r="W44" s="25">
        <f>SUM(SUMIF($B$9:$B$50,"Total hours",W$9:W$50),'2018.4'!W$44:W$44)</f>
        <v>14.5</v>
      </c>
      <c r="X44" s="26"/>
    </row>
    <row r="46" spans="2:24">
      <c r="B46" s="27" t="s">
        <v>379</v>
      </c>
      <c r="C46" s="28"/>
      <c r="D46" s="28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0"/>
      <c r="R46" s="30"/>
      <c r="S46" s="31"/>
    </row>
    <row r="47" spans="2:24">
      <c r="B47" s="32" t="s">
        <v>380</v>
      </c>
      <c r="C47" s="33" t="s">
        <v>381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8"/>
      <c r="C48" s="34" t="s">
        <v>382</v>
      </c>
      <c r="D48" s="39"/>
      <c r="E48" s="35" t="s">
        <v>383</v>
      </c>
      <c r="F48" s="35"/>
      <c r="G48" s="34"/>
      <c r="H48" s="34"/>
      <c r="I48" s="34" t="s">
        <v>384</v>
      </c>
      <c r="J48" s="39"/>
      <c r="K48" s="35" t="s">
        <v>385</v>
      </c>
      <c r="L48" s="34"/>
      <c r="M48" s="34"/>
      <c r="N48" s="34"/>
      <c r="O48" s="34" t="s">
        <v>386</v>
      </c>
      <c r="P48" s="34"/>
      <c r="Q48" s="36" t="s">
        <v>387</v>
      </c>
      <c r="R48" s="36"/>
      <c r="S48" s="37"/>
    </row>
    <row r="49" spans="2:19">
      <c r="B49" s="38"/>
      <c r="C49" s="44" t="s">
        <v>388</v>
      </c>
      <c r="D49" s="45"/>
      <c r="E49" s="45"/>
      <c r="F49" s="45"/>
      <c r="G49" s="45"/>
      <c r="H49" s="45"/>
      <c r="I49" s="45"/>
      <c r="J49" s="45"/>
      <c r="K49" s="34"/>
      <c r="L49" s="34"/>
      <c r="M49" s="34"/>
      <c r="N49" s="46"/>
      <c r="O49" s="34"/>
      <c r="P49" s="34"/>
      <c r="Q49" s="36"/>
      <c r="R49" s="36"/>
      <c r="S49" s="37"/>
    </row>
    <row r="50" spans="2:19">
      <c r="B50" s="32" t="s">
        <v>389</v>
      </c>
      <c r="C50" s="33" t="s">
        <v>390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7" t="s">
        <v>391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8" t="s">
        <v>392</v>
      </c>
      <c r="D52" s="34"/>
      <c r="E52" s="35"/>
      <c r="F52" s="35" t="s">
        <v>393</v>
      </c>
      <c r="G52" s="34"/>
      <c r="H52" s="34"/>
      <c r="I52" s="34" t="s">
        <v>394</v>
      </c>
      <c r="J52" s="34"/>
      <c r="K52" s="34"/>
      <c r="L52" s="34" t="s">
        <v>395</v>
      </c>
      <c r="M52" s="34"/>
      <c r="N52" s="34"/>
      <c r="O52" s="34"/>
      <c r="P52" s="34"/>
      <c r="Q52" s="36"/>
      <c r="R52" s="36"/>
      <c r="S52" s="37"/>
    </row>
    <row r="53" spans="2:19">
      <c r="B53" s="38"/>
      <c r="C53" s="34"/>
      <c r="D53" s="34"/>
      <c r="E53" s="35"/>
      <c r="F53" s="35" t="s">
        <v>396</v>
      </c>
      <c r="G53" s="34"/>
      <c r="H53" s="34"/>
      <c r="I53" s="34" t="s">
        <v>397</v>
      </c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32" t="s">
        <v>398</v>
      </c>
      <c r="C54" s="33" t="s">
        <v>399</v>
      </c>
      <c r="D54" s="34"/>
      <c r="E54" s="35"/>
      <c r="F54" s="35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40"/>
      <c r="C55" s="41" t="s">
        <v>400</v>
      </c>
      <c r="D55" s="41"/>
      <c r="E55" s="42"/>
      <c r="F55" s="42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3"/>
      <c r="R55" s="43"/>
      <c r="S55" s="49"/>
    </row>
  </sheetData>
  <mergeCells count="13">
    <mergeCell ref="X7:X8"/>
    <mergeCell ref="B4:X4"/>
    <mergeCell ref="B7:B8"/>
    <mergeCell ref="C7:C8"/>
    <mergeCell ref="D7:H7"/>
    <mergeCell ref="I7:M7"/>
    <mergeCell ref="N7:R7"/>
    <mergeCell ref="S7:W7"/>
    <mergeCell ref="B15:C15"/>
    <mergeCell ref="B23:C23"/>
    <mergeCell ref="B31:C31"/>
    <mergeCell ref="B39:C39"/>
    <mergeCell ref="B44:C4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X54"/>
  <sheetViews>
    <sheetView topLeftCell="A44" zoomScale="85" zoomScaleNormal="85" workbookViewId="0">
      <selection activeCell="B45" sqref="B45:S54"/>
    </sheetView>
  </sheetViews>
  <sheetFormatPr defaultRowHeight="15"/>
  <cols>
    <col min="2" max="2" width="9.7109375" bestFit="1" customWidth="1"/>
    <col min="24" max="24" width="10.570312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43252</v>
      </c>
      <c r="C9" s="23" t="s">
        <v>23</v>
      </c>
      <c r="D9" s="6"/>
      <c r="E9" s="7"/>
      <c r="F9" s="7"/>
      <c r="G9" s="8"/>
      <c r="H9" s="9" t="str">
        <f>IF(G9="","",G9-8)</f>
        <v/>
      </c>
      <c r="I9" s="10"/>
      <c r="J9" s="7"/>
      <c r="K9" s="7"/>
      <c r="L9" s="8"/>
      <c r="M9" s="9" t="str">
        <f>IF(L9="","",L9-8)</f>
        <v/>
      </c>
      <c r="N9" s="10"/>
      <c r="O9" s="7"/>
      <c r="P9" s="7"/>
      <c r="Q9" s="8"/>
      <c r="R9" s="9" t="str">
        <f>IF(Q9="","",Q9-8)</f>
        <v/>
      </c>
      <c r="S9" s="6"/>
      <c r="T9" s="7"/>
      <c r="U9" s="7"/>
      <c r="V9" s="8"/>
      <c r="W9" s="9" t="str">
        <f>IF(V9="","",V9-8)</f>
        <v/>
      </c>
      <c r="X9" s="11"/>
    </row>
    <row r="10" spans="2:24">
      <c r="B10" s="12">
        <v>43253</v>
      </c>
      <c r="C10" s="24" t="s">
        <v>106</v>
      </c>
      <c r="D10" s="13"/>
      <c r="E10" s="14"/>
      <c r="F10" s="14"/>
      <c r="G10" s="15"/>
      <c r="H10" s="16"/>
      <c r="I10" s="13"/>
      <c r="J10" s="14"/>
      <c r="K10" s="14"/>
      <c r="L10" s="15"/>
      <c r="M10" s="16"/>
      <c r="N10" s="13"/>
      <c r="O10" s="14"/>
      <c r="P10" s="14"/>
      <c r="Q10" s="15"/>
      <c r="R10" s="16"/>
      <c r="S10" s="13"/>
      <c r="T10" s="14"/>
      <c r="U10" s="14"/>
      <c r="V10" s="15"/>
      <c r="W10" s="16"/>
      <c r="X10" s="17"/>
    </row>
    <row r="11" spans="2:24">
      <c r="B11" s="12">
        <v>43254</v>
      </c>
      <c r="C11" s="24" t="s">
        <v>102</v>
      </c>
      <c r="D11" s="13"/>
      <c r="E11" s="14"/>
      <c r="F11" s="14"/>
      <c r="G11" s="15"/>
      <c r="H11" s="16"/>
      <c r="I11" s="13"/>
      <c r="J11" s="14"/>
      <c r="K11" s="14"/>
      <c r="L11" s="15"/>
      <c r="M11" s="16"/>
      <c r="N11" s="13"/>
      <c r="O11" s="14"/>
      <c r="P11" s="14"/>
      <c r="Q11" s="15"/>
      <c r="R11" s="16"/>
      <c r="S11" s="13"/>
      <c r="T11" s="14"/>
      <c r="U11" s="14"/>
      <c r="V11" s="15"/>
      <c r="W11" s="16"/>
      <c r="X11" s="17"/>
    </row>
    <row r="12" spans="2:24">
      <c r="B12" s="51" t="s">
        <v>309</v>
      </c>
      <c r="C12" s="52"/>
      <c r="D12" s="18"/>
      <c r="E12" s="19"/>
      <c r="F12" s="19"/>
      <c r="G12" s="20"/>
      <c r="H12" s="21">
        <f>SUM(H$9:H11,'2018.5'!H$40:H$43)</f>
        <v>0</v>
      </c>
      <c r="I12" s="18"/>
      <c r="J12" s="19"/>
      <c r="K12" s="19"/>
      <c r="L12" s="20"/>
      <c r="M12" s="21">
        <f>SUM(M$9:M11,'2018.5'!M$40:M$43)</f>
        <v>0</v>
      </c>
      <c r="N12" s="18"/>
      <c r="O12" s="19"/>
      <c r="P12" s="19"/>
      <c r="Q12" s="20"/>
      <c r="R12" s="21">
        <f>SUM(R$9:R11,'2018.5'!R$40:R$43)</f>
        <v>0</v>
      </c>
      <c r="S12" s="18"/>
      <c r="T12" s="19"/>
      <c r="U12" s="19"/>
      <c r="V12" s="20"/>
      <c r="W12" s="21">
        <f>SUM(W$9:W11,'2018.5'!W$40:W$43)</f>
        <v>0</v>
      </c>
      <c r="X12" s="22"/>
    </row>
    <row r="13" spans="2:24">
      <c r="B13" s="5">
        <v>43255</v>
      </c>
      <c r="C13" s="23" t="s">
        <v>108</v>
      </c>
      <c r="D13" s="6"/>
      <c r="E13" s="7"/>
      <c r="F13" s="7"/>
      <c r="G13" s="8"/>
      <c r="H13" s="9" t="str">
        <f>IF(G13="","",G13-8)</f>
        <v/>
      </c>
      <c r="I13" s="10"/>
      <c r="J13" s="7"/>
      <c r="K13" s="7"/>
      <c r="L13" s="8"/>
      <c r="M13" s="9" t="str">
        <f>IF(L13="","",L13-8)</f>
        <v/>
      </c>
      <c r="N13" s="10"/>
      <c r="O13" s="7"/>
      <c r="P13" s="7"/>
      <c r="Q13" s="8"/>
      <c r="R13" s="9" t="str">
        <f>IF(Q13="","",Q13-8)</f>
        <v/>
      </c>
      <c r="S13" s="6"/>
      <c r="T13" s="7"/>
      <c r="U13" s="7"/>
      <c r="V13" s="8"/>
      <c r="W13" s="9" t="str">
        <f>IF(V13="","",V13-8)</f>
        <v/>
      </c>
      <c r="X13" s="11"/>
    </row>
    <row r="14" spans="2:24">
      <c r="B14" s="5">
        <v>43256</v>
      </c>
      <c r="C14" s="23" t="s">
        <v>109</v>
      </c>
      <c r="D14" s="6"/>
      <c r="E14" s="7"/>
      <c r="F14" s="7"/>
      <c r="G14" s="8"/>
      <c r="H14" s="9" t="str">
        <f>IF(G14="","",G14-8)</f>
        <v/>
      </c>
      <c r="I14" s="10"/>
      <c r="J14" s="7"/>
      <c r="K14" s="7"/>
      <c r="L14" s="8"/>
      <c r="M14" s="9" t="str">
        <f>IF(L14="","",L14-8)</f>
        <v/>
      </c>
      <c r="N14" s="10"/>
      <c r="O14" s="7"/>
      <c r="P14" s="7"/>
      <c r="Q14" s="8"/>
      <c r="R14" s="9" t="str">
        <f>IF(Q14="","",Q14-8)</f>
        <v/>
      </c>
      <c r="S14" s="6"/>
      <c r="T14" s="7"/>
      <c r="U14" s="7"/>
      <c r="V14" s="8"/>
      <c r="W14" s="9" t="str">
        <f>IF(V14="","",V14-8)</f>
        <v/>
      </c>
      <c r="X14" s="11"/>
    </row>
    <row r="15" spans="2:24">
      <c r="B15" s="5">
        <v>43257</v>
      </c>
      <c r="C15" s="23" t="s">
        <v>4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5">
        <v>43258</v>
      </c>
      <c r="C16" s="23" t="s">
        <v>110</v>
      </c>
      <c r="D16" s="6"/>
      <c r="E16" s="7"/>
      <c r="F16" s="7"/>
      <c r="G16" s="8"/>
      <c r="H16" s="9" t="str">
        <f>IF(G16="","",G16-8)</f>
        <v/>
      </c>
      <c r="I16" s="10"/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/>
      <c r="T16" s="7"/>
      <c r="U16" s="7"/>
      <c r="V16" s="8"/>
      <c r="W16" s="9" t="str">
        <f>IF(V16="","",V16-8)</f>
        <v/>
      </c>
      <c r="X16" s="11"/>
    </row>
    <row r="17" spans="2:24">
      <c r="B17" s="5">
        <v>43259</v>
      </c>
      <c r="C17" s="23" t="s">
        <v>111</v>
      </c>
      <c r="D17" s="6"/>
      <c r="E17" s="7"/>
      <c r="F17" s="7"/>
      <c r="G17" s="8"/>
      <c r="H17" s="9" t="str">
        <f>IF(G17="","",G17-8)</f>
        <v/>
      </c>
      <c r="I17" s="10"/>
      <c r="J17" s="7"/>
      <c r="K17" s="7"/>
      <c r="L17" s="8"/>
      <c r="M17" s="9" t="str">
        <f>IF(L17="","",L17-8)</f>
        <v/>
      </c>
      <c r="N17" s="10"/>
      <c r="O17" s="7"/>
      <c r="P17" s="7"/>
      <c r="Q17" s="8"/>
      <c r="R17" s="9" t="str">
        <f>IF(Q17="","",Q17-8)</f>
        <v/>
      </c>
      <c r="S17" s="6"/>
      <c r="T17" s="7"/>
      <c r="U17" s="7"/>
      <c r="V17" s="8"/>
      <c r="W17" s="9" t="str">
        <f>IF(V17="","",V17-8)</f>
        <v/>
      </c>
      <c r="X17" s="11"/>
    </row>
    <row r="18" spans="2:24">
      <c r="B18" s="12">
        <v>43260</v>
      </c>
      <c r="C18" s="24" t="s">
        <v>112</v>
      </c>
      <c r="D18" s="13"/>
      <c r="E18" s="14"/>
      <c r="F18" s="14"/>
      <c r="G18" s="15"/>
      <c r="H18" s="16"/>
      <c r="I18" s="13"/>
      <c r="J18" s="14"/>
      <c r="K18" s="14"/>
      <c r="L18" s="15"/>
      <c r="M18" s="16"/>
      <c r="N18" s="13"/>
      <c r="O18" s="14"/>
      <c r="P18" s="14"/>
      <c r="Q18" s="15"/>
      <c r="R18" s="16"/>
      <c r="S18" s="13"/>
      <c r="T18" s="14"/>
      <c r="U18" s="14"/>
      <c r="V18" s="15"/>
      <c r="W18" s="16"/>
      <c r="X18" s="17"/>
    </row>
    <row r="19" spans="2:24">
      <c r="B19" s="12">
        <v>43261</v>
      </c>
      <c r="C19" s="24" t="s">
        <v>107</v>
      </c>
      <c r="D19" s="13"/>
      <c r="E19" s="14"/>
      <c r="F19" s="14"/>
      <c r="G19" s="15"/>
      <c r="H19" s="16"/>
      <c r="I19" s="13"/>
      <c r="J19" s="14"/>
      <c r="K19" s="14"/>
      <c r="L19" s="15"/>
      <c r="M19" s="16"/>
      <c r="N19" s="13"/>
      <c r="O19" s="14"/>
      <c r="P19" s="14"/>
      <c r="Q19" s="15"/>
      <c r="R19" s="16"/>
      <c r="S19" s="13"/>
      <c r="T19" s="14"/>
      <c r="U19" s="14"/>
      <c r="V19" s="15"/>
      <c r="W19" s="16"/>
      <c r="X19" s="17"/>
    </row>
    <row r="20" spans="2:24">
      <c r="B20" s="51" t="s">
        <v>309</v>
      </c>
      <c r="C20" s="52"/>
      <c r="D20" s="18"/>
      <c r="E20" s="19"/>
      <c r="F20" s="19"/>
      <c r="G20" s="20"/>
      <c r="H20" s="21">
        <f>SUM(H13:H19)</f>
        <v>0</v>
      </c>
      <c r="I20" s="18"/>
      <c r="J20" s="19"/>
      <c r="K20" s="19"/>
      <c r="L20" s="20"/>
      <c r="M20" s="21">
        <f>SUM(M13:M19)</f>
        <v>0</v>
      </c>
      <c r="N20" s="18"/>
      <c r="O20" s="19"/>
      <c r="P20" s="19"/>
      <c r="Q20" s="20"/>
      <c r="R20" s="21">
        <f>SUM(R13:R19)</f>
        <v>0</v>
      </c>
      <c r="S20" s="18"/>
      <c r="T20" s="19"/>
      <c r="U20" s="19"/>
      <c r="V20" s="20"/>
      <c r="W20" s="21">
        <f>SUM(W13:W19)</f>
        <v>0</v>
      </c>
      <c r="X20" s="22"/>
    </row>
    <row r="21" spans="2:24">
      <c r="B21" s="5">
        <v>43262</v>
      </c>
      <c r="C21" s="23" t="s">
        <v>114</v>
      </c>
      <c r="D21" s="6"/>
      <c r="E21" s="7"/>
      <c r="F21" s="7"/>
      <c r="G21" s="8"/>
      <c r="H21" s="9" t="str">
        <f>IF(G21="","",G21-8)</f>
        <v/>
      </c>
      <c r="I21" s="10"/>
      <c r="J21" s="7"/>
      <c r="K21" s="7"/>
      <c r="L21" s="8"/>
      <c r="M21" s="9" t="str">
        <f>IF(L21="","",L21-8)</f>
        <v/>
      </c>
      <c r="N21" s="10"/>
      <c r="O21" s="7"/>
      <c r="P21" s="7"/>
      <c r="Q21" s="8"/>
      <c r="R21" s="9" t="str">
        <f>IF(Q21="","",Q21-8)</f>
        <v/>
      </c>
      <c r="S21" s="6"/>
      <c r="T21" s="7"/>
      <c r="U21" s="7"/>
      <c r="V21" s="8"/>
      <c r="W21" s="9" t="str">
        <f>IF(V21="","",V21-8)</f>
        <v/>
      </c>
      <c r="X21" s="11"/>
    </row>
    <row r="22" spans="2:24">
      <c r="B22" s="5">
        <v>43263</v>
      </c>
      <c r="C22" s="23" t="s">
        <v>115</v>
      </c>
      <c r="D22" s="6"/>
      <c r="E22" s="7"/>
      <c r="F22" s="7"/>
      <c r="G22" s="8"/>
      <c r="H22" s="9" t="str">
        <f>IF(G22="","",G22-8)</f>
        <v/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43264</v>
      </c>
      <c r="C23" s="23" t="s">
        <v>116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5">
        <v>43265</v>
      </c>
      <c r="C24" s="23" t="s">
        <v>117</v>
      </c>
      <c r="D24" s="6"/>
      <c r="E24" s="7"/>
      <c r="F24" s="7"/>
      <c r="G24" s="8"/>
      <c r="H24" s="9" t="str">
        <f>IF(G24="","",G24-8)</f>
        <v/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5">
        <v>43266</v>
      </c>
      <c r="C25" s="23" t="s">
        <v>118</v>
      </c>
      <c r="D25" s="6"/>
      <c r="E25" s="7"/>
      <c r="F25" s="7"/>
      <c r="G25" s="8"/>
      <c r="H25" s="9" t="str">
        <f>IF(G25="","",G25-8)</f>
        <v/>
      </c>
      <c r="I25" s="10"/>
      <c r="J25" s="7"/>
      <c r="K25" s="7"/>
      <c r="L25" s="8"/>
      <c r="M25" s="9" t="str">
        <f>IF(L25="","",L25-8)</f>
        <v/>
      </c>
      <c r="N25" s="10"/>
      <c r="O25" s="7"/>
      <c r="P25" s="7"/>
      <c r="Q25" s="8"/>
      <c r="R25" s="9" t="str">
        <f>IF(Q25="","",Q25-8)</f>
        <v/>
      </c>
      <c r="S25" s="6"/>
      <c r="T25" s="7"/>
      <c r="U25" s="7"/>
      <c r="V25" s="8"/>
      <c r="W25" s="9" t="str">
        <f>IF(V25="","",V25-8)</f>
        <v/>
      </c>
      <c r="X25" s="11"/>
    </row>
    <row r="26" spans="2:24">
      <c r="B26" s="12">
        <v>43267</v>
      </c>
      <c r="C26" s="24" t="s">
        <v>119</v>
      </c>
      <c r="D26" s="13"/>
      <c r="E26" s="14"/>
      <c r="F26" s="14"/>
      <c r="G26" s="15"/>
      <c r="H26" s="16"/>
      <c r="I26" s="13"/>
      <c r="J26" s="14"/>
      <c r="K26" s="14"/>
      <c r="L26" s="15"/>
      <c r="M26" s="16"/>
      <c r="N26" s="13"/>
      <c r="O26" s="14"/>
      <c r="P26" s="14"/>
      <c r="Q26" s="15"/>
      <c r="R26" s="16"/>
      <c r="S26" s="13"/>
      <c r="T26" s="14"/>
      <c r="U26" s="14"/>
      <c r="V26" s="15"/>
      <c r="W26" s="16"/>
      <c r="X26" s="17"/>
    </row>
    <row r="27" spans="2:24">
      <c r="B27" s="12">
        <v>43268</v>
      </c>
      <c r="C27" s="24" t="s">
        <v>113</v>
      </c>
      <c r="D27" s="13"/>
      <c r="E27" s="14"/>
      <c r="F27" s="14"/>
      <c r="G27" s="15"/>
      <c r="H27" s="16"/>
      <c r="I27" s="13"/>
      <c r="J27" s="14"/>
      <c r="K27" s="14"/>
      <c r="L27" s="15"/>
      <c r="M27" s="16"/>
      <c r="N27" s="13"/>
      <c r="O27" s="14"/>
      <c r="P27" s="14"/>
      <c r="Q27" s="15"/>
      <c r="R27" s="16"/>
      <c r="S27" s="13"/>
      <c r="T27" s="14"/>
      <c r="U27" s="14"/>
      <c r="V27" s="15"/>
      <c r="W27" s="16"/>
      <c r="X27" s="17"/>
    </row>
    <row r="28" spans="2:24">
      <c r="B28" s="51" t="s">
        <v>309</v>
      </c>
      <c r="C28" s="52"/>
      <c r="D28" s="18"/>
      <c r="E28" s="19"/>
      <c r="F28" s="19"/>
      <c r="G28" s="20"/>
      <c r="H28" s="21">
        <f>SUM(H21:H27)</f>
        <v>0</v>
      </c>
      <c r="I28" s="18"/>
      <c r="J28" s="19"/>
      <c r="K28" s="19"/>
      <c r="L28" s="20"/>
      <c r="M28" s="21">
        <f>SUM(M21:M27)</f>
        <v>0</v>
      </c>
      <c r="N28" s="18"/>
      <c r="O28" s="19"/>
      <c r="P28" s="19"/>
      <c r="Q28" s="20"/>
      <c r="R28" s="21">
        <f>SUM(R21:R27)</f>
        <v>0</v>
      </c>
      <c r="S28" s="18"/>
      <c r="T28" s="19"/>
      <c r="U28" s="19"/>
      <c r="V28" s="20"/>
      <c r="W28" s="21">
        <f>SUM(W21:W27)</f>
        <v>0</v>
      </c>
      <c r="X28" s="22"/>
    </row>
    <row r="29" spans="2:24">
      <c r="B29" s="5">
        <v>43269</v>
      </c>
      <c r="C29" s="23" t="s">
        <v>121</v>
      </c>
      <c r="D29" s="6"/>
      <c r="E29" s="7"/>
      <c r="F29" s="7"/>
      <c r="G29" s="8"/>
      <c r="H29" s="9" t="str">
        <f>IF(G29="","",G29-8)</f>
        <v/>
      </c>
      <c r="I29" s="10"/>
      <c r="J29" s="7"/>
      <c r="K29" s="7"/>
      <c r="L29" s="8"/>
      <c r="M29" s="9" t="str">
        <f>IF(L29="","",L29-8)</f>
        <v/>
      </c>
      <c r="N29" s="10"/>
      <c r="O29" s="7"/>
      <c r="P29" s="7"/>
      <c r="Q29" s="8"/>
      <c r="R29" s="9" t="str">
        <f>IF(Q29="","",Q29-8)</f>
        <v/>
      </c>
      <c r="S29" s="6"/>
      <c r="T29" s="7"/>
      <c r="U29" s="7"/>
      <c r="V29" s="8"/>
      <c r="W29" s="9" t="str">
        <f>IF(V29="","",V29-8)</f>
        <v/>
      </c>
      <c r="X29" s="11"/>
    </row>
    <row r="30" spans="2:24">
      <c r="B30" s="5">
        <v>43270</v>
      </c>
      <c r="C30" s="23" t="s">
        <v>122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43271</v>
      </c>
      <c r="C31" s="23" t="s">
        <v>123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5">
        <v>43272</v>
      </c>
      <c r="C32" s="23" t="s">
        <v>124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5">
        <v>43273</v>
      </c>
      <c r="C33" s="23" t="s">
        <v>125</v>
      </c>
      <c r="D33" s="6"/>
      <c r="E33" s="7"/>
      <c r="F33" s="7"/>
      <c r="G33" s="8"/>
      <c r="H33" s="9" t="str">
        <f>IF(G33="","",G33-8)</f>
        <v/>
      </c>
      <c r="I33" s="10"/>
      <c r="J33" s="7"/>
      <c r="K33" s="7"/>
      <c r="L33" s="8"/>
      <c r="M33" s="9" t="str">
        <f>IF(L33="","",L33-8)</f>
        <v/>
      </c>
      <c r="N33" s="10"/>
      <c r="O33" s="7"/>
      <c r="P33" s="7"/>
      <c r="Q33" s="8"/>
      <c r="R33" s="9" t="str">
        <f>IF(Q33="","",Q33-8)</f>
        <v/>
      </c>
      <c r="S33" s="6"/>
      <c r="T33" s="7"/>
      <c r="U33" s="7"/>
      <c r="V33" s="8"/>
      <c r="W33" s="9" t="str">
        <f>IF(V33="","",V33-8)</f>
        <v/>
      </c>
      <c r="X33" s="11"/>
    </row>
    <row r="34" spans="2:24">
      <c r="B34" s="12">
        <v>43274</v>
      </c>
      <c r="C34" s="24" t="s">
        <v>126</v>
      </c>
      <c r="D34" s="13"/>
      <c r="E34" s="14"/>
      <c r="F34" s="14"/>
      <c r="G34" s="15"/>
      <c r="H34" s="16"/>
      <c r="I34" s="13"/>
      <c r="J34" s="14"/>
      <c r="K34" s="14"/>
      <c r="L34" s="15"/>
      <c r="M34" s="16"/>
      <c r="N34" s="13"/>
      <c r="O34" s="14"/>
      <c r="P34" s="14"/>
      <c r="Q34" s="15"/>
      <c r="R34" s="16"/>
      <c r="S34" s="13"/>
      <c r="T34" s="14"/>
      <c r="U34" s="14"/>
      <c r="V34" s="15"/>
      <c r="W34" s="16"/>
      <c r="X34" s="17"/>
    </row>
    <row r="35" spans="2:24">
      <c r="B35" s="12">
        <v>43275</v>
      </c>
      <c r="C35" s="24" t="s">
        <v>120</v>
      </c>
      <c r="D35" s="13"/>
      <c r="E35" s="14"/>
      <c r="F35" s="14"/>
      <c r="G35" s="15"/>
      <c r="H35" s="16"/>
      <c r="I35" s="13"/>
      <c r="J35" s="14"/>
      <c r="K35" s="14"/>
      <c r="L35" s="15"/>
      <c r="M35" s="16"/>
      <c r="N35" s="13"/>
      <c r="O35" s="14"/>
      <c r="P35" s="14"/>
      <c r="Q35" s="15"/>
      <c r="R35" s="16"/>
      <c r="S35" s="13"/>
      <c r="T35" s="14"/>
      <c r="U35" s="14"/>
      <c r="V35" s="15"/>
      <c r="W35" s="16"/>
      <c r="X35" s="17"/>
    </row>
    <row r="36" spans="2:24">
      <c r="B36" s="51" t="s">
        <v>309</v>
      </c>
      <c r="C36" s="52"/>
      <c r="D36" s="18"/>
      <c r="E36" s="19"/>
      <c r="F36" s="19"/>
      <c r="G36" s="20"/>
      <c r="H36" s="21">
        <f>SUM(H29:H35)</f>
        <v>0</v>
      </c>
      <c r="I36" s="18"/>
      <c r="J36" s="19"/>
      <c r="K36" s="19"/>
      <c r="L36" s="20"/>
      <c r="M36" s="21">
        <f>SUM(M29:M35)</f>
        <v>0</v>
      </c>
      <c r="N36" s="18"/>
      <c r="O36" s="19"/>
      <c r="P36" s="19"/>
      <c r="Q36" s="20"/>
      <c r="R36" s="21">
        <f>SUM(R29:R35)</f>
        <v>0</v>
      </c>
      <c r="S36" s="18"/>
      <c r="T36" s="19"/>
      <c r="U36" s="19"/>
      <c r="V36" s="20"/>
      <c r="W36" s="21">
        <f>SUM(W29:W35)</f>
        <v>0</v>
      </c>
      <c r="X36" s="22"/>
    </row>
    <row r="37" spans="2:24">
      <c r="B37" s="5">
        <v>43276</v>
      </c>
      <c r="C37" s="23" t="s">
        <v>128</v>
      </c>
      <c r="D37" s="6"/>
      <c r="E37" s="7"/>
      <c r="F37" s="7"/>
      <c r="G37" s="8"/>
      <c r="H37" s="9" t="str">
        <f>IF(G37="","",G37-8)</f>
        <v/>
      </c>
      <c r="I37" s="10"/>
      <c r="J37" s="7"/>
      <c r="K37" s="7"/>
      <c r="L37" s="8"/>
      <c r="M37" s="9" t="str">
        <f>IF(L37="","",L37-8)</f>
        <v/>
      </c>
      <c r="N37" s="10"/>
      <c r="O37" s="7"/>
      <c r="P37" s="7"/>
      <c r="Q37" s="8"/>
      <c r="R37" s="9" t="str">
        <f>IF(Q37="","",Q37-8)</f>
        <v/>
      </c>
      <c r="S37" s="6"/>
      <c r="T37" s="7"/>
      <c r="U37" s="7"/>
      <c r="V37" s="8"/>
      <c r="W37" s="9" t="str">
        <f>IF(V37="","",V37-8)</f>
        <v/>
      </c>
      <c r="X37" s="11"/>
    </row>
    <row r="38" spans="2:24">
      <c r="B38" s="5">
        <v>43277</v>
      </c>
      <c r="C38" s="23" t="s">
        <v>129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43278</v>
      </c>
      <c r="C39" s="23" t="s">
        <v>130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5">
        <v>43279</v>
      </c>
      <c r="C40" s="23" t="s">
        <v>131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5">
        <v>43280</v>
      </c>
      <c r="C41" s="23" t="s">
        <v>132</v>
      </c>
      <c r="D41" s="6"/>
      <c r="E41" s="7"/>
      <c r="F41" s="7"/>
      <c r="G41" s="8"/>
      <c r="H41" s="9" t="str">
        <f>IF(G41="","",G41-8)</f>
        <v/>
      </c>
      <c r="I41" s="10"/>
      <c r="J41" s="7"/>
      <c r="K41" s="7"/>
      <c r="L41" s="8"/>
      <c r="M41" s="9" t="str">
        <f>IF(L41="","",L41-8)</f>
        <v/>
      </c>
      <c r="N41" s="10"/>
      <c r="O41" s="7"/>
      <c r="P41" s="7"/>
      <c r="Q41" s="8"/>
      <c r="R41" s="9" t="str">
        <f>IF(Q41="","",Q41-8)</f>
        <v/>
      </c>
      <c r="S41" s="6"/>
      <c r="T41" s="7"/>
      <c r="U41" s="7"/>
      <c r="V41" s="8"/>
      <c r="W41" s="9" t="str">
        <f>IF(V41="","",V41-8)</f>
        <v/>
      </c>
      <c r="X41" s="11"/>
    </row>
    <row r="42" spans="2:24">
      <c r="B42" s="12">
        <v>43281</v>
      </c>
      <c r="C42" s="24" t="s">
        <v>15</v>
      </c>
      <c r="D42" s="13"/>
      <c r="E42" s="14"/>
      <c r="F42" s="14"/>
      <c r="G42" s="15"/>
      <c r="H42" s="16"/>
      <c r="I42" s="13"/>
      <c r="J42" s="14"/>
      <c r="K42" s="14"/>
      <c r="L42" s="15"/>
      <c r="M42" s="16"/>
      <c r="N42" s="13"/>
      <c r="O42" s="14"/>
      <c r="P42" s="14"/>
      <c r="Q42" s="15"/>
      <c r="R42" s="16"/>
      <c r="S42" s="13"/>
      <c r="T42" s="14"/>
      <c r="U42" s="14"/>
      <c r="V42" s="15"/>
      <c r="W42" s="16"/>
      <c r="X42" s="17"/>
    </row>
    <row r="43" spans="2:24">
      <c r="B43" s="50" t="s">
        <v>401</v>
      </c>
      <c r="C43" s="50"/>
      <c r="D43" s="1"/>
      <c r="E43" s="1"/>
      <c r="F43" s="1"/>
      <c r="G43" s="1"/>
      <c r="H43" s="25">
        <f>SUM(SUMIF($B$9:$B$50,"Total hours",H$9:H$50),'2018.5'!H$44:H$44)</f>
        <v>166</v>
      </c>
      <c r="I43" s="1"/>
      <c r="J43" s="1"/>
      <c r="K43" s="1"/>
      <c r="L43" s="1"/>
      <c r="M43" s="25">
        <f>SUM(SUMIF($B$9:$B$50,"Total hours",M$9:M$50),'2018.5'!M$44:M$44)</f>
        <v>95</v>
      </c>
      <c r="N43" s="1"/>
      <c r="O43" s="1"/>
      <c r="P43" s="1"/>
      <c r="Q43" s="1"/>
      <c r="R43" s="25">
        <f>SUM(SUMIF($B$9:$B$50,"Total hours",R$9:R$50),'2018.5'!R$44:R$44)</f>
        <v>61.5</v>
      </c>
      <c r="S43" s="1"/>
      <c r="T43" s="1"/>
      <c r="U43" s="1"/>
      <c r="V43" s="1"/>
      <c r="W43" s="25">
        <f>SUM(SUMIF($B$9:$B$50,"Total hours",W$9:W$50),'2018.5'!W$44:W$44)</f>
        <v>14.5</v>
      </c>
      <c r="X43" s="26"/>
    </row>
    <row r="45" spans="2:24">
      <c r="B45" s="27" t="s">
        <v>379</v>
      </c>
      <c r="C45" s="28"/>
      <c r="D45" s="28"/>
      <c r="E45" s="29"/>
      <c r="F45" s="29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30"/>
      <c r="R45" s="30"/>
      <c r="S45" s="31"/>
    </row>
    <row r="46" spans="2:24">
      <c r="B46" s="32" t="s">
        <v>380</v>
      </c>
      <c r="C46" s="33" t="s">
        <v>381</v>
      </c>
      <c r="D46" s="34"/>
      <c r="E46" s="35"/>
      <c r="F46" s="35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6"/>
      <c r="R46" s="36"/>
      <c r="S46" s="37"/>
    </row>
    <row r="47" spans="2:24">
      <c r="B47" s="38"/>
      <c r="C47" s="34" t="s">
        <v>382</v>
      </c>
      <c r="D47" s="39"/>
      <c r="E47" s="35" t="s">
        <v>383</v>
      </c>
      <c r="F47" s="35"/>
      <c r="G47" s="34"/>
      <c r="H47" s="34"/>
      <c r="I47" s="34" t="s">
        <v>384</v>
      </c>
      <c r="J47" s="39"/>
      <c r="K47" s="35" t="s">
        <v>385</v>
      </c>
      <c r="L47" s="34"/>
      <c r="M47" s="34"/>
      <c r="N47" s="34"/>
      <c r="O47" s="34" t="s">
        <v>386</v>
      </c>
      <c r="P47" s="34"/>
      <c r="Q47" s="36" t="s">
        <v>387</v>
      </c>
      <c r="R47" s="36"/>
      <c r="S47" s="37"/>
    </row>
    <row r="48" spans="2:24">
      <c r="B48" s="38"/>
      <c r="C48" s="44" t="s">
        <v>388</v>
      </c>
      <c r="D48" s="45"/>
      <c r="E48" s="45"/>
      <c r="F48" s="45"/>
      <c r="G48" s="45"/>
      <c r="H48" s="45"/>
      <c r="I48" s="45"/>
      <c r="J48" s="45"/>
      <c r="K48" s="34"/>
      <c r="L48" s="34"/>
      <c r="M48" s="34"/>
      <c r="N48" s="46"/>
      <c r="O48" s="34"/>
      <c r="P48" s="34"/>
      <c r="Q48" s="36"/>
      <c r="R48" s="36"/>
      <c r="S48" s="37"/>
    </row>
    <row r="49" spans="2:19">
      <c r="B49" s="32" t="s">
        <v>389</v>
      </c>
      <c r="C49" s="33" t="s">
        <v>390</v>
      </c>
      <c r="D49" s="34"/>
      <c r="E49" s="35"/>
      <c r="F49" s="35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6"/>
      <c r="R49" s="36"/>
      <c r="S49" s="37"/>
    </row>
    <row r="50" spans="2:19">
      <c r="B50" s="32"/>
      <c r="C50" s="47" t="s">
        <v>391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8" t="s">
        <v>392</v>
      </c>
      <c r="D51" s="34"/>
      <c r="E51" s="35"/>
      <c r="F51" s="35" t="s">
        <v>393</v>
      </c>
      <c r="G51" s="34"/>
      <c r="H51" s="34"/>
      <c r="I51" s="34" t="s">
        <v>394</v>
      </c>
      <c r="J51" s="34"/>
      <c r="K51" s="34"/>
      <c r="L51" s="34" t="s">
        <v>395</v>
      </c>
      <c r="M51" s="34"/>
      <c r="N51" s="34"/>
      <c r="O51" s="34"/>
      <c r="P51" s="34"/>
      <c r="Q51" s="36"/>
      <c r="R51" s="36"/>
      <c r="S51" s="37"/>
    </row>
    <row r="52" spans="2:19">
      <c r="B52" s="38"/>
      <c r="C52" s="34"/>
      <c r="D52" s="34"/>
      <c r="E52" s="35"/>
      <c r="F52" s="35" t="s">
        <v>396</v>
      </c>
      <c r="G52" s="34"/>
      <c r="H52" s="34"/>
      <c r="I52" s="34" t="s">
        <v>397</v>
      </c>
      <c r="J52" s="34"/>
      <c r="K52" s="34"/>
      <c r="L52" s="34"/>
      <c r="M52" s="34"/>
      <c r="N52" s="34"/>
      <c r="O52" s="34"/>
      <c r="P52" s="34"/>
      <c r="Q52" s="36"/>
      <c r="R52" s="36"/>
      <c r="S52" s="37"/>
    </row>
    <row r="53" spans="2:19">
      <c r="B53" s="32" t="s">
        <v>398</v>
      </c>
      <c r="C53" s="33" t="s">
        <v>399</v>
      </c>
      <c r="D53" s="34"/>
      <c r="E53" s="35"/>
      <c r="F53" s="35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40"/>
      <c r="C54" s="41" t="s">
        <v>400</v>
      </c>
      <c r="D54" s="41"/>
      <c r="E54" s="42"/>
      <c r="F54" s="42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3"/>
      <c r="R54" s="43"/>
      <c r="S54" s="49"/>
    </row>
  </sheetData>
  <mergeCells count="13">
    <mergeCell ref="S7:W7"/>
    <mergeCell ref="X7:X8"/>
    <mergeCell ref="B4:X4"/>
    <mergeCell ref="B7:B8"/>
    <mergeCell ref="C7:C8"/>
    <mergeCell ref="D7:H7"/>
    <mergeCell ref="I7:M7"/>
    <mergeCell ref="N7:R7"/>
    <mergeCell ref="B12:C12"/>
    <mergeCell ref="B20:C20"/>
    <mergeCell ref="B28:C28"/>
    <mergeCell ref="B36:C36"/>
    <mergeCell ref="B43:C4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X56"/>
  <sheetViews>
    <sheetView topLeftCell="A44" zoomScale="85" zoomScaleNormal="85" workbookViewId="0">
      <selection activeCell="B47" sqref="B47:S56"/>
    </sheetView>
  </sheetViews>
  <sheetFormatPr defaultRowHeight="15"/>
  <cols>
    <col min="2" max="2" width="9.710937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12">
        <v>43282</v>
      </c>
      <c r="C9" s="24" t="s">
        <v>127</v>
      </c>
      <c r="D9" s="13"/>
      <c r="E9" s="14"/>
      <c r="F9" s="14"/>
      <c r="G9" s="15"/>
      <c r="H9" s="16"/>
      <c r="I9" s="13"/>
      <c r="J9" s="14"/>
      <c r="K9" s="14"/>
      <c r="L9" s="15"/>
      <c r="M9" s="16"/>
      <c r="N9" s="13"/>
      <c r="O9" s="14"/>
      <c r="P9" s="14"/>
      <c r="Q9" s="15"/>
      <c r="R9" s="16"/>
      <c r="S9" s="13"/>
      <c r="T9" s="14"/>
      <c r="U9" s="14"/>
      <c r="V9" s="15"/>
      <c r="W9" s="16"/>
      <c r="X9" s="17"/>
    </row>
    <row r="10" spans="2:24">
      <c r="B10" s="51" t="s">
        <v>309</v>
      </c>
      <c r="C10" s="52"/>
      <c r="D10" s="18"/>
      <c r="E10" s="19"/>
      <c r="F10" s="19"/>
      <c r="G10" s="20"/>
      <c r="H10" s="21">
        <f>SUM(H$9:H9,'2018.6'!H$37:H$42)</f>
        <v>0</v>
      </c>
      <c r="I10" s="18"/>
      <c r="J10" s="19"/>
      <c r="K10" s="19"/>
      <c r="L10" s="20"/>
      <c r="M10" s="21">
        <f>SUM(M$9:M9,'2018.6'!M$37:M$42)</f>
        <v>0</v>
      </c>
      <c r="N10" s="18"/>
      <c r="O10" s="19"/>
      <c r="P10" s="19"/>
      <c r="Q10" s="20"/>
      <c r="R10" s="21">
        <f>SUM(R$9:R9,'2018.6'!R$37:R$42)</f>
        <v>0</v>
      </c>
      <c r="S10" s="18"/>
      <c r="T10" s="19"/>
      <c r="U10" s="19"/>
      <c r="V10" s="20"/>
      <c r="W10" s="21">
        <f>SUM(W$9:W9,'2018.6'!W$37:W$42)</f>
        <v>0</v>
      </c>
      <c r="X10" s="22"/>
    </row>
    <row r="11" spans="2:24">
      <c r="B11" s="5">
        <v>43283</v>
      </c>
      <c r="C11" s="23" t="s">
        <v>133</v>
      </c>
      <c r="D11" s="6"/>
      <c r="E11" s="7"/>
      <c r="F11" s="7"/>
      <c r="G11" s="8"/>
      <c r="H11" s="9" t="str">
        <f>IF(G11="","",G11-8)</f>
        <v/>
      </c>
      <c r="I11" s="10"/>
      <c r="J11" s="7"/>
      <c r="K11" s="7"/>
      <c r="L11" s="8"/>
      <c r="M11" s="9" t="str">
        <f>IF(L11="","",L11-8)</f>
        <v/>
      </c>
      <c r="N11" s="10"/>
      <c r="O11" s="7"/>
      <c r="P11" s="7"/>
      <c r="Q11" s="8"/>
      <c r="R11" s="9" t="str">
        <f>IF(Q11="","",Q11-8)</f>
        <v/>
      </c>
      <c r="S11" s="6"/>
      <c r="T11" s="7"/>
      <c r="U11" s="7"/>
      <c r="V11" s="8"/>
      <c r="W11" s="9" t="str">
        <f>IF(V11="","",V11-8)</f>
        <v/>
      </c>
      <c r="X11" s="11"/>
    </row>
    <row r="12" spans="2:24">
      <c r="B12" s="5">
        <v>43284</v>
      </c>
      <c r="C12" s="23" t="s">
        <v>134</v>
      </c>
      <c r="D12" s="6"/>
      <c r="E12" s="7"/>
      <c r="F12" s="7"/>
      <c r="G12" s="8"/>
      <c r="H12" s="9" t="str">
        <f>IF(G12="","",G12-8)</f>
        <v/>
      </c>
      <c r="I12" s="10"/>
      <c r="J12" s="7"/>
      <c r="K12" s="7"/>
      <c r="L12" s="8"/>
      <c r="M12" s="9" t="str">
        <f>IF(L12="","",L12-8)</f>
        <v/>
      </c>
      <c r="N12" s="10"/>
      <c r="O12" s="7"/>
      <c r="P12" s="7"/>
      <c r="Q12" s="8"/>
      <c r="R12" s="9" t="str">
        <f>IF(Q12="","",Q12-8)</f>
        <v/>
      </c>
      <c r="S12" s="6"/>
      <c r="T12" s="7"/>
      <c r="U12" s="7"/>
      <c r="V12" s="8"/>
      <c r="W12" s="9" t="str">
        <f>IF(V12="","",V12-8)</f>
        <v/>
      </c>
      <c r="X12" s="11"/>
    </row>
    <row r="13" spans="2:24">
      <c r="B13" s="5">
        <v>43285</v>
      </c>
      <c r="C13" s="23" t="s">
        <v>135</v>
      </c>
      <c r="D13" s="6"/>
      <c r="E13" s="7"/>
      <c r="F13" s="7"/>
      <c r="G13" s="8"/>
      <c r="H13" s="9" t="str">
        <f>IF(G13="","",G13-8)</f>
        <v/>
      </c>
      <c r="I13" s="10"/>
      <c r="J13" s="7"/>
      <c r="K13" s="7"/>
      <c r="L13" s="8"/>
      <c r="M13" s="9" t="str">
        <f>IF(L13="","",L13-8)</f>
        <v/>
      </c>
      <c r="N13" s="10"/>
      <c r="O13" s="7"/>
      <c r="P13" s="7"/>
      <c r="Q13" s="8"/>
      <c r="R13" s="9" t="str">
        <f>IF(Q13="","",Q13-8)</f>
        <v/>
      </c>
      <c r="S13" s="6"/>
      <c r="T13" s="7"/>
      <c r="U13" s="7"/>
      <c r="V13" s="8"/>
      <c r="W13" s="9" t="str">
        <f>IF(V13="","",V13-8)</f>
        <v/>
      </c>
      <c r="X13" s="11"/>
    </row>
    <row r="14" spans="2:24">
      <c r="B14" s="5">
        <v>43286</v>
      </c>
      <c r="C14" s="23" t="s">
        <v>136</v>
      </c>
      <c r="D14" s="6"/>
      <c r="E14" s="7"/>
      <c r="F14" s="7"/>
      <c r="G14" s="8"/>
      <c r="H14" s="9" t="str">
        <f>IF(G14="","",G14-8)</f>
        <v/>
      </c>
      <c r="I14" s="10"/>
      <c r="J14" s="7"/>
      <c r="K14" s="7"/>
      <c r="L14" s="8"/>
      <c r="M14" s="9" t="str">
        <f>IF(L14="","",L14-8)</f>
        <v/>
      </c>
      <c r="N14" s="10"/>
      <c r="O14" s="7"/>
      <c r="P14" s="7"/>
      <c r="Q14" s="8"/>
      <c r="R14" s="9" t="str">
        <f>IF(Q14="","",Q14-8)</f>
        <v/>
      </c>
      <c r="S14" s="6"/>
      <c r="T14" s="7"/>
      <c r="U14" s="7"/>
      <c r="V14" s="8"/>
      <c r="W14" s="9" t="str">
        <f>IF(V14="","",V14-8)</f>
        <v/>
      </c>
      <c r="X14" s="11"/>
    </row>
    <row r="15" spans="2:24">
      <c r="B15" s="5">
        <v>43287</v>
      </c>
      <c r="C15" s="23" t="s">
        <v>5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12">
        <v>43288</v>
      </c>
      <c r="C16" s="24" t="s">
        <v>137</v>
      </c>
      <c r="D16" s="13"/>
      <c r="E16" s="14"/>
      <c r="F16" s="14"/>
      <c r="G16" s="15"/>
      <c r="H16" s="16"/>
      <c r="I16" s="13"/>
      <c r="J16" s="14"/>
      <c r="K16" s="14"/>
      <c r="L16" s="15"/>
      <c r="M16" s="16"/>
      <c r="N16" s="13"/>
      <c r="O16" s="14"/>
      <c r="P16" s="14"/>
      <c r="Q16" s="15"/>
      <c r="R16" s="16"/>
      <c r="S16" s="13"/>
      <c r="T16" s="14"/>
      <c r="U16" s="14"/>
      <c r="V16" s="15"/>
      <c r="W16" s="16"/>
      <c r="X16" s="17"/>
    </row>
    <row r="17" spans="2:24">
      <c r="B17" s="12">
        <v>43289</v>
      </c>
      <c r="C17" s="24" t="s">
        <v>24</v>
      </c>
      <c r="D17" s="13"/>
      <c r="E17" s="14"/>
      <c r="F17" s="14"/>
      <c r="G17" s="15"/>
      <c r="H17" s="16"/>
      <c r="I17" s="13"/>
      <c r="J17" s="14"/>
      <c r="K17" s="14"/>
      <c r="L17" s="15"/>
      <c r="M17" s="16"/>
      <c r="N17" s="13"/>
      <c r="O17" s="14"/>
      <c r="P17" s="14"/>
      <c r="Q17" s="15"/>
      <c r="R17" s="16"/>
      <c r="S17" s="13"/>
      <c r="T17" s="14"/>
      <c r="U17" s="14"/>
      <c r="V17" s="15"/>
      <c r="W17" s="16"/>
      <c r="X17" s="17"/>
    </row>
    <row r="18" spans="2:24">
      <c r="B18" s="51" t="s">
        <v>309</v>
      </c>
      <c r="C18" s="52"/>
      <c r="D18" s="18"/>
      <c r="E18" s="19"/>
      <c r="F18" s="19"/>
      <c r="G18" s="20"/>
      <c r="H18" s="21">
        <f>SUM(H11:H17)</f>
        <v>0</v>
      </c>
      <c r="I18" s="18"/>
      <c r="J18" s="19"/>
      <c r="K18" s="19"/>
      <c r="L18" s="20"/>
      <c r="M18" s="21">
        <f>SUM(M11:M17)</f>
        <v>0</v>
      </c>
      <c r="N18" s="18"/>
      <c r="O18" s="19"/>
      <c r="P18" s="19"/>
      <c r="Q18" s="20"/>
      <c r="R18" s="21">
        <f>SUM(R11:R17)</f>
        <v>0</v>
      </c>
      <c r="S18" s="18"/>
      <c r="T18" s="19"/>
      <c r="U18" s="19"/>
      <c r="V18" s="20"/>
      <c r="W18" s="21">
        <f>SUM(W11:W17)</f>
        <v>0</v>
      </c>
      <c r="X18" s="22"/>
    </row>
    <row r="19" spans="2:24">
      <c r="B19" s="5">
        <v>43290</v>
      </c>
      <c r="C19" s="23" t="s">
        <v>139</v>
      </c>
      <c r="D19" s="6"/>
      <c r="E19" s="7"/>
      <c r="F19" s="7"/>
      <c r="G19" s="8"/>
      <c r="H19" s="9" t="str">
        <f>IF(G19="","",G19-8)</f>
        <v/>
      </c>
      <c r="I19" s="10"/>
      <c r="J19" s="7"/>
      <c r="K19" s="7"/>
      <c r="L19" s="8"/>
      <c r="M19" s="9" t="str">
        <f>IF(L19="","",L19-8)</f>
        <v/>
      </c>
      <c r="N19" s="10"/>
      <c r="O19" s="7"/>
      <c r="P19" s="7"/>
      <c r="Q19" s="8"/>
      <c r="R19" s="9" t="str">
        <f>IF(Q19="","",Q19-8)</f>
        <v/>
      </c>
      <c r="S19" s="6"/>
      <c r="T19" s="7"/>
      <c r="U19" s="7"/>
      <c r="V19" s="8"/>
      <c r="W19" s="9" t="str">
        <f>IF(V19="","",V19-8)</f>
        <v/>
      </c>
      <c r="X19" s="11"/>
    </row>
    <row r="20" spans="2:24">
      <c r="B20" s="5">
        <v>43291</v>
      </c>
      <c r="C20" s="23" t="s">
        <v>140</v>
      </c>
      <c r="D20" s="6"/>
      <c r="E20" s="7"/>
      <c r="F20" s="7"/>
      <c r="G20" s="8"/>
      <c r="H20" s="9" t="str">
        <f>IF(G20="","",G20-8)</f>
        <v/>
      </c>
      <c r="I20" s="10"/>
      <c r="J20" s="7"/>
      <c r="K20" s="7"/>
      <c r="L20" s="8"/>
      <c r="M20" s="9" t="str">
        <f>IF(L20="","",L20-8)</f>
        <v/>
      </c>
      <c r="N20" s="10"/>
      <c r="O20" s="7"/>
      <c r="P20" s="7"/>
      <c r="Q20" s="8"/>
      <c r="R20" s="9" t="str">
        <f>IF(Q20="","",Q20-8)</f>
        <v/>
      </c>
      <c r="S20" s="6"/>
      <c r="T20" s="7"/>
      <c r="U20" s="7"/>
      <c r="V20" s="8"/>
      <c r="W20" s="9" t="str">
        <f>IF(V20="","",V20-8)</f>
        <v/>
      </c>
      <c r="X20" s="11"/>
    </row>
    <row r="21" spans="2:24">
      <c r="B21" s="5">
        <v>43292</v>
      </c>
      <c r="C21" s="23" t="s">
        <v>141</v>
      </c>
      <c r="D21" s="6"/>
      <c r="E21" s="7"/>
      <c r="F21" s="7"/>
      <c r="G21" s="8"/>
      <c r="H21" s="9" t="str">
        <f>IF(G21="","",G21-8)</f>
        <v/>
      </c>
      <c r="I21" s="10"/>
      <c r="J21" s="7"/>
      <c r="K21" s="7"/>
      <c r="L21" s="8"/>
      <c r="M21" s="9" t="str">
        <f>IF(L21="","",L21-8)</f>
        <v/>
      </c>
      <c r="N21" s="10"/>
      <c r="O21" s="7"/>
      <c r="P21" s="7"/>
      <c r="Q21" s="8"/>
      <c r="R21" s="9" t="str">
        <f>IF(Q21="","",Q21-8)</f>
        <v/>
      </c>
      <c r="S21" s="6"/>
      <c r="T21" s="7"/>
      <c r="U21" s="7"/>
      <c r="V21" s="8"/>
      <c r="W21" s="9" t="str">
        <f>IF(V21="","",V21-8)</f>
        <v/>
      </c>
      <c r="X21" s="11"/>
    </row>
    <row r="22" spans="2:24">
      <c r="B22" s="5">
        <v>43293</v>
      </c>
      <c r="C22" s="23" t="s">
        <v>142</v>
      </c>
      <c r="D22" s="6"/>
      <c r="E22" s="7"/>
      <c r="F22" s="7"/>
      <c r="G22" s="8"/>
      <c r="H22" s="9" t="str">
        <f>IF(G22="","",G22-8)</f>
        <v/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43294</v>
      </c>
      <c r="C23" s="23" t="s">
        <v>143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12">
        <v>43295</v>
      </c>
      <c r="C24" s="24" t="s">
        <v>144</v>
      </c>
      <c r="D24" s="13"/>
      <c r="E24" s="14"/>
      <c r="F24" s="14"/>
      <c r="G24" s="15"/>
      <c r="H24" s="16"/>
      <c r="I24" s="13"/>
      <c r="J24" s="14"/>
      <c r="K24" s="14"/>
      <c r="L24" s="15"/>
      <c r="M24" s="16"/>
      <c r="N24" s="13"/>
      <c r="O24" s="14"/>
      <c r="P24" s="14"/>
      <c r="Q24" s="15"/>
      <c r="R24" s="16"/>
      <c r="S24" s="13"/>
      <c r="T24" s="14"/>
      <c r="U24" s="14"/>
      <c r="V24" s="15"/>
      <c r="W24" s="16"/>
      <c r="X24" s="17"/>
    </row>
    <row r="25" spans="2:24">
      <c r="B25" s="12">
        <v>43296</v>
      </c>
      <c r="C25" s="24" t="s">
        <v>138</v>
      </c>
      <c r="D25" s="13"/>
      <c r="E25" s="14"/>
      <c r="F25" s="14"/>
      <c r="G25" s="15"/>
      <c r="H25" s="16"/>
      <c r="I25" s="13"/>
      <c r="J25" s="14"/>
      <c r="K25" s="14"/>
      <c r="L25" s="15"/>
      <c r="M25" s="16"/>
      <c r="N25" s="13"/>
      <c r="O25" s="14"/>
      <c r="P25" s="14"/>
      <c r="Q25" s="15"/>
      <c r="R25" s="16"/>
      <c r="S25" s="13"/>
      <c r="T25" s="14"/>
      <c r="U25" s="14"/>
      <c r="V25" s="15"/>
      <c r="W25" s="16"/>
      <c r="X25" s="17"/>
    </row>
    <row r="26" spans="2:24">
      <c r="B26" s="51" t="s">
        <v>309</v>
      </c>
      <c r="C26" s="52"/>
      <c r="D26" s="18"/>
      <c r="E26" s="19"/>
      <c r="F26" s="19"/>
      <c r="G26" s="20"/>
      <c r="H26" s="21">
        <f>SUM(H19:H25)</f>
        <v>0</v>
      </c>
      <c r="I26" s="18"/>
      <c r="J26" s="19"/>
      <c r="K26" s="19"/>
      <c r="L26" s="20"/>
      <c r="M26" s="21">
        <f>SUM(M19:M25)</f>
        <v>0</v>
      </c>
      <c r="N26" s="18"/>
      <c r="O26" s="19"/>
      <c r="P26" s="19"/>
      <c r="Q26" s="20"/>
      <c r="R26" s="21">
        <f>SUM(R19:R25)</f>
        <v>0</v>
      </c>
      <c r="S26" s="18"/>
      <c r="T26" s="19"/>
      <c r="U26" s="19"/>
      <c r="V26" s="20"/>
      <c r="W26" s="21">
        <f>SUM(W19:W25)</f>
        <v>0</v>
      </c>
      <c r="X26" s="22"/>
    </row>
    <row r="27" spans="2:24">
      <c r="B27" s="5">
        <v>43297</v>
      </c>
      <c r="C27" s="23" t="s">
        <v>146</v>
      </c>
      <c r="D27" s="6"/>
      <c r="E27" s="7"/>
      <c r="F27" s="7"/>
      <c r="G27" s="8"/>
      <c r="H27" s="9" t="str">
        <f>IF(G27="","",G27-8)</f>
        <v/>
      </c>
      <c r="I27" s="10"/>
      <c r="J27" s="7"/>
      <c r="K27" s="7"/>
      <c r="L27" s="8"/>
      <c r="M27" s="9" t="str">
        <f>IF(L27="","",L27-8)</f>
        <v/>
      </c>
      <c r="N27" s="10"/>
      <c r="O27" s="7"/>
      <c r="P27" s="7"/>
      <c r="Q27" s="8"/>
      <c r="R27" s="9" t="str">
        <f>IF(Q27="","",Q27-8)</f>
        <v/>
      </c>
      <c r="S27" s="6"/>
      <c r="T27" s="7"/>
      <c r="U27" s="7"/>
      <c r="V27" s="8"/>
      <c r="W27" s="9" t="str">
        <f>IF(V27="","",V27-8)</f>
        <v/>
      </c>
      <c r="X27" s="11"/>
    </row>
    <row r="28" spans="2:24">
      <c r="B28" s="5">
        <v>43298</v>
      </c>
      <c r="C28" s="23" t="s">
        <v>147</v>
      </c>
      <c r="D28" s="6"/>
      <c r="E28" s="7"/>
      <c r="F28" s="7"/>
      <c r="G28" s="8"/>
      <c r="H28" s="9" t="str">
        <f>IF(G28="","",G28-8)</f>
        <v/>
      </c>
      <c r="I28" s="10"/>
      <c r="J28" s="7"/>
      <c r="K28" s="7"/>
      <c r="L28" s="8"/>
      <c r="M28" s="9" t="str">
        <f>IF(L28="","",L28-8)</f>
        <v/>
      </c>
      <c r="N28" s="10"/>
      <c r="O28" s="7"/>
      <c r="P28" s="7"/>
      <c r="Q28" s="8"/>
      <c r="R28" s="9" t="str">
        <f>IF(Q28="","",Q28-8)</f>
        <v/>
      </c>
      <c r="S28" s="6"/>
      <c r="T28" s="7"/>
      <c r="U28" s="7"/>
      <c r="V28" s="8"/>
      <c r="W28" s="9" t="str">
        <f>IF(V28="","",V28-8)</f>
        <v/>
      </c>
      <c r="X28" s="11"/>
    </row>
    <row r="29" spans="2:24">
      <c r="B29" s="5">
        <v>43299</v>
      </c>
      <c r="C29" s="23" t="s">
        <v>148</v>
      </c>
      <c r="D29" s="6"/>
      <c r="E29" s="7"/>
      <c r="F29" s="7"/>
      <c r="G29" s="8"/>
      <c r="H29" s="9" t="str">
        <f>IF(G29="","",G29-8)</f>
        <v/>
      </c>
      <c r="I29" s="10"/>
      <c r="J29" s="7"/>
      <c r="K29" s="7"/>
      <c r="L29" s="8"/>
      <c r="M29" s="9" t="str">
        <f>IF(L29="","",L29-8)</f>
        <v/>
      </c>
      <c r="N29" s="10"/>
      <c r="O29" s="7"/>
      <c r="P29" s="7"/>
      <c r="Q29" s="8"/>
      <c r="R29" s="9" t="str">
        <f>IF(Q29="","",Q29-8)</f>
        <v/>
      </c>
      <c r="S29" s="6"/>
      <c r="T29" s="7"/>
      <c r="U29" s="7"/>
      <c r="V29" s="8"/>
      <c r="W29" s="9" t="str">
        <f>IF(V29="","",V29-8)</f>
        <v/>
      </c>
      <c r="X29" s="11"/>
    </row>
    <row r="30" spans="2:24">
      <c r="B30" s="5">
        <v>43300</v>
      </c>
      <c r="C30" s="23" t="s">
        <v>149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43301</v>
      </c>
      <c r="C31" s="23" t="s">
        <v>150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12">
        <v>43302</v>
      </c>
      <c r="C32" s="24" t="s">
        <v>151</v>
      </c>
      <c r="D32" s="13"/>
      <c r="E32" s="14"/>
      <c r="F32" s="14"/>
      <c r="G32" s="15"/>
      <c r="H32" s="16"/>
      <c r="I32" s="13"/>
      <c r="J32" s="14"/>
      <c r="K32" s="14"/>
      <c r="L32" s="15"/>
      <c r="M32" s="16"/>
      <c r="N32" s="13"/>
      <c r="O32" s="14"/>
      <c r="P32" s="14"/>
      <c r="Q32" s="15"/>
      <c r="R32" s="16"/>
      <c r="S32" s="13"/>
      <c r="T32" s="14"/>
      <c r="U32" s="14"/>
      <c r="V32" s="15"/>
      <c r="W32" s="16"/>
      <c r="X32" s="17"/>
    </row>
    <row r="33" spans="2:24">
      <c r="B33" s="12">
        <v>43303</v>
      </c>
      <c r="C33" s="24" t="s">
        <v>145</v>
      </c>
      <c r="D33" s="13"/>
      <c r="E33" s="14"/>
      <c r="F33" s="14"/>
      <c r="G33" s="15"/>
      <c r="H33" s="16"/>
      <c r="I33" s="13"/>
      <c r="J33" s="14"/>
      <c r="K33" s="14"/>
      <c r="L33" s="15"/>
      <c r="M33" s="16"/>
      <c r="N33" s="13"/>
      <c r="O33" s="14"/>
      <c r="P33" s="14"/>
      <c r="Q33" s="15"/>
      <c r="R33" s="16"/>
      <c r="S33" s="13"/>
      <c r="T33" s="14"/>
      <c r="U33" s="14"/>
      <c r="V33" s="15"/>
      <c r="W33" s="16"/>
      <c r="X33" s="17"/>
    </row>
    <row r="34" spans="2:24">
      <c r="B34" s="51" t="s">
        <v>309</v>
      </c>
      <c r="C34" s="52"/>
      <c r="D34" s="18"/>
      <c r="E34" s="19"/>
      <c r="F34" s="19"/>
      <c r="G34" s="20"/>
      <c r="H34" s="21">
        <f>SUM(H27:H33)</f>
        <v>0</v>
      </c>
      <c r="I34" s="18"/>
      <c r="J34" s="19"/>
      <c r="K34" s="19"/>
      <c r="L34" s="20"/>
      <c r="M34" s="21">
        <f>SUM(M27:M33)</f>
        <v>0</v>
      </c>
      <c r="N34" s="18"/>
      <c r="O34" s="19"/>
      <c r="P34" s="19"/>
      <c r="Q34" s="20"/>
      <c r="R34" s="21">
        <f>SUM(R27:R33)</f>
        <v>0</v>
      </c>
      <c r="S34" s="18"/>
      <c r="T34" s="19"/>
      <c r="U34" s="19"/>
      <c r="V34" s="20"/>
      <c r="W34" s="21">
        <f>SUM(W27:W33)</f>
        <v>0</v>
      </c>
      <c r="X34" s="22"/>
    </row>
    <row r="35" spans="2:24">
      <c r="B35" s="5">
        <v>43304</v>
      </c>
      <c r="C35" s="23" t="s">
        <v>153</v>
      </c>
      <c r="D35" s="6"/>
      <c r="E35" s="7"/>
      <c r="F35" s="7"/>
      <c r="G35" s="8"/>
      <c r="H35" s="9" t="str">
        <f>IF(G35="","",G35-8)</f>
        <v/>
      </c>
      <c r="I35" s="10"/>
      <c r="J35" s="7"/>
      <c r="K35" s="7"/>
      <c r="L35" s="8"/>
      <c r="M35" s="9" t="str">
        <f>IF(L35="","",L35-8)</f>
        <v/>
      </c>
      <c r="N35" s="10"/>
      <c r="O35" s="7"/>
      <c r="P35" s="7"/>
      <c r="Q35" s="8"/>
      <c r="R35" s="9" t="str">
        <f>IF(Q35="","",Q35-8)</f>
        <v/>
      </c>
      <c r="S35" s="6"/>
      <c r="T35" s="7"/>
      <c r="U35" s="7"/>
      <c r="V35" s="8"/>
      <c r="W35" s="9" t="str">
        <f>IF(V35="","",V35-8)</f>
        <v/>
      </c>
      <c r="X35" s="11"/>
    </row>
    <row r="36" spans="2:24">
      <c r="B36" s="5">
        <v>43305</v>
      </c>
      <c r="C36" s="23" t="s">
        <v>154</v>
      </c>
      <c r="D36" s="6"/>
      <c r="E36" s="7"/>
      <c r="F36" s="7"/>
      <c r="G36" s="8"/>
      <c r="H36" s="9" t="str">
        <f>IF(G36="","",G36-8)</f>
        <v/>
      </c>
      <c r="I36" s="10"/>
      <c r="J36" s="7"/>
      <c r="K36" s="7"/>
      <c r="L36" s="8"/>
      <c r="M36" s="9" t="str">
        <f>IF(L36="","",L36-8)</f>
        <v/>
      </c>
      <c r="N36" s="10"/>
      <c r="O36" s="7"/>
      <c r="P36" s="7"/>
      <c r="Q36" s="8"/>
      <c r="R36" s="9" t="str">
        <f>IF(Q36="","",Q36-8)</f>
        <v/>
      </c>
      <c r="S36" s="6"/>
      <c r="T36" s="7"/>
      <c r="U36" s="7"/>
      <c r="V36" s="8"/>
      <c r="W36" s="9" t="str">
        <f>IF(V36="","",V36-8)</f>
        <v/>
      </c>
      <c r="X36" s="11"/>
    </row>
    <row r="37" spans="2:24">
      <c r="B37" s="5">
        <v>43306</v>
      </c>
      <c r="C37" s="23" t="s">
        <v>155</v>
      </c>
      <c r="D37" s="6"/>
      <c r="E37" s="7"/>
      <c r="F37" s="7"/>
      <c r="G37" s="8"/>
      <c r="H37" s="9" t="str">
        <f>IF(G37="","",G37-8)</f>
        <v/>
      </c>
      <c r="I37" s="10"/>
      <c r="J37" s="7"/>
      <c r="K37" s="7"/>
      <c r="L37" s="8"/>
      <c r="M37" s="9" t="str">
        <f>IF(L37="","",L37-8)</f>
        <v/>
      </c>
      <c r="N37" s="10"/>
      <c r="O37" s="7"/>
      <c r="P37" s="7"/>
      <c r="Q37" s="8"/>
      <c r="R37" s="9" t="str">
        <f>IF(Q37="","",Q37-8)</f>
        <v/>
      </c>
      <c r="S37" s="6"/>
      <c r="T37" s="7"/>
      <c r="U37" s="7"/>
      <c r="V37" s="8"/>
      <c r="W37" s="9" t="str">
        <f>IF(V37="","",V37-8)</f>
        <v/>
      </c>
      <c r="X37" s="11"/>
    </row>
    <row r="38" spans="2:24">
      <c r="B38" s="5">
        <v>43307</v>
      </c>
      <c r="C38" s="23" t="s">
        <v>156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43308</v>
      </c>
      <c r="C39" s="23" t="s">
        <v>157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12">
        <v>43309</v>
      </c>
      <c r="C40" s="24" t="s">
        <v>158</v>
      </c>
      <c r="D40" s="13"/>
      <c r="E40" s="14"/>
      <c r="F40" s="14"/>
      <c r="G40" s="15"/>
      <c r="H40" s="16"/>
      <c r="I40" s="13"/>
      <c r="J40" s="14"/>
      <c r="K40" s="14"/>
      <c r="L40" s="15"/>
      <c r="M40" s="16"/>
      <c r="N40" s="13"/>
      <c r="O40" s="14"/>
      <c r="P40" s="14"/>
      <c r="Q40" s="15"/>
      <c r="R40" s="16"/>
      <c r="S40" s="13"/>
      <c r="T40" s="14"/>
      <c r="U40" s="14"/>
      <c r="V40" s="15"/>
      <c r="W40" s="16"/>
      <c r="X40" s="17"/>
    </row>
    <row r="41" spans="2:24">
      <c r="B41" s="12">
        <v>43310</v>
      </c>
      <c r="C41" s="24" t="s">
        <v>152</v>
      </c>
      <c r="D41" s="13"/>
      <c r="E41" s="14"/>
      <c r="F41" s="14"/>
      <c r="G41" s="15"/>
      <c r="H41" s="16"/>
      <c r="I41" s="13"/>
      <c r="J41" s="14"/>
      <c r="K41" s="14"/>
      <c r="L41" s="15"/>
      <c r="M41" s="16"/>
      <c r="N41" s="13"/>
      <c r="O41" s="14"/>
      <c r="P41" s="14"/>
      <c r="Q41" s="15"/>
      <c r="R41" s="16"/>
      <c r="S41" s="13"/>
      <c r="T41" s="14"/>
      <c r="U41" s="14"/>
      <c r="V41" s="15"/>
      <c r="W41" s="16"/>
      <c r="X41" s="17"/>
    </row>
    <row r="42" spans="2:24">
      <c r="B42" s="51" t="s">
        <v>309</v>
      </c>
      <c r="C42" s="52"/>
      <c r="D42" s="18"/>
      <c r="E42" s="19"/>
      <c r="F42" s="19"/>
      <c r="G42" s="20"/>
      <c r="H42" s="21">
        <f>SUM(H35:H41)</f>
        <v>0</v>
      </c>
      <c r="I42" s="18"/>
      <c r="J42" s="19"/>
      <c r="K42" s="19"/>
      <c r="L42" s="20"/>
      <c r="M42" s="21">
        <f>SUM(M35:M41)</f>
        <v>0</v>
      </c>
      <c r="N42" s="18"/>
      <c r="O42" s="19"/>
      <c r="P42" s="19"/>
      <c r="Q42" s="20"/>
      <c r="R42" s="21">
        <f>SUM(R35:R41)</f>
        <v>0</v>
      </c>
      <c r="S42" s="18"/>
      <c r="T42" s="19"/>
      <c r="U42" s="19"/>
      <c r="V42" s="20"/>
      <c r="W42" s="21">
        <f>SUM(W35:W41)</f>
        <v>0</v>
      </c>
      <c r="X42" s="22"/>
    </row>
    <row r="43" spans="2:24">
      <c r="B43" s="5">
        <v>43311</v>
      </c>
      <c r="C43" s="23" t="s">
        <v>160</v>
      </c>
      <c r="D43" s="6"/>
      <c r="E43" s="7"/>
      <c r="F43" s="7"/>
      <c r="G43" s="8"/>
      <c r="H43" s="9" t="str">
        <f>IF(G43="","",G43-8)</f>
        <v/>
      </c>
      <c r="I43" s="10"/>
      <c r="J43" s="7"/>
      <c r="K43" s="7"/>
      <c r="L43" s="8"/>
      <c r="M43" s="9" t="str">
        <f>IF(L43="","",L43-8)</f>
        <v/>
      </c>
      <c r="N43" s="10"/>
      <c r="O43" s="7"/>
      <c r="P43" s="7"/>
      <c r="Q43" s="8"/>
      <c r="R43" s="9" t="str">
        <f>IF(Q43="","",Q43-8)</f>
        <v/>
      </c>
      <c r="S43" s="6"/>
      <c r="T43" s="7"/>
      <c r="U43" s="7"/>
      <c r="V43" s="8"/>
      <c r="W43" s="9" t="str">
        <f>IF(V43="","",V43-8)</f>
        <v/>
      </c>
      <c r="X43" s="11"/>
    </row>
    <row r="44" spans="2:24">
      <c r="B44" s="5">
        <v>43312</v>
      </c>
      <c r="C44" s="23" t="s">
        <v>16</v>
      </c>
      <c r="D44" s="6"/>
      <c r="E44" s="7"/>
      <c r="F44" s="7"/>
      <c r="G44" s="8"/>
      <c r="H44" s="9" t="str">
        <f>IF(G44="","",G44-8)</f>
        <v/>
      </c>
      <c r="I44" s="10"/>
      <c r="J44" s="7"/>
      <c r="K44" s="7"/>
      <c r="L44" s="8"/>
      <c r="M44" s="9" t="str">
        <f>IF(L44="","",L44-8)</f>
        <v/>
      </c>
      <c r="N44" s="10"/>
      <c r="O44" s="7"/>
      <c r="P44" s="7"/>
      <c r="Q44" s="8"/>
      <c r="R44" s="9" t="str">
        <f>IF(Q44="","",Q44-8)</f>
        <v/>
      </c>
      <c r="S44" s="6"/>
      <c r="T44" s="7"/>
      <c r="U44" s="7"/>
      <c r="V44" s="8"/>
      <c r="W44" s="9" t="str">
        <f>IF(V44="","",V44-8)</f>
        <v/>
      </c>
      <c r="X44" s="11"/>
    </row>
    <row r="45" spans="2:24">
      <c r="B45" s="50" t="s">
        <v>401</v>
      </c>
      <c r="C45" s="50"/>
      <c r="D45" s="1"/>
      <c r="E45" s="1"/>
      <c r="F45" s="1"/>
      <c r="G45" s="1"/>
      <c r="H45" s="25">
        <f>SUM(SUMIF($B$9:$B$50,"Total hours",H$9:H$50),'2018.6'!H$43:H$43)</f>
        <v>166</v>
      </c>
      <c r="I45" s="1"/>
      <c r="J45" s="1"/>
      <c r="K45" s="1"/>
      <c r="L45" s="1"/>
      <c r="M45" s="25">
        <f>SUM(SUMIF($B$9:$B$50,"Total hours",M$9:M$50),'2018.6'!M$43:M$43)</f>
        <v>95</v>
      </c>
      <c r="N45" s="1"/>
      <c r="O45" s="1"/>
      <c r="P45" s="1"/>
      <c r="Q45" s="1"/>
      <c r="R45" s="25">
        <f>SUM(SUMIF($B$9:$B$50,"Total hours",R$9:R$50),'2018.6'!R$43:R$43)</f>
        <v>61.5</v>
      </c>
      <c r="S45" s="1"/>
      <c r="T45" s="1"/>
      <c r="U45" s="1"/>
      <c r="V45" s="1"/>
      <c r="W45" s="25">
        <f>SUM(SUMIF($B$9:$B$50,"Total hours",W$9:W$50),'2018.6'!W$43:W$43)</f>
        <v>14.5</v>
      </c>
      <c r="X45" s="26"/>
    </row>
    <row r="47" spans="2:24">
      <c r="B47" s="27" t="s">
        <v>379</v>
      </c>
      <c r="C47" s="28"/>
      <c r="D47" s="28"/>
      <c r="E47" s="29"/>
      <c r="F47" s="29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  <c r="R47" s="30"/>
      <c r="S47" s="31"/>
    </row>
    <row r="48" spans="2:24">
      <c r="B48" s="32" t="s">
        <v>380</v>
      </c>
      <c r="C48" s="33" t="s">
        <v>381</v>
      </c>
      <c r="D48" s="34"/>
      <c r="E48" s="35"/>
      <c r="F48" s="35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6"/>
      <c r="R48" s="36"/>
      <c r="S48" s="37"/>
    </row>
    <row r="49" spans="2:19">
      <c r="B49" s="38"/>
      <c r="C49" s="34" t="s">
        <v>382</v>
      </c>
      <c r="D49" s="39"/>
      <c r="E49" s="35" t="s">
        <v>383</v>
      </c>
      <c r="F49" s="35"/>
      <c r="G49" s="34"/>
      <c r="H49" s="34"/>
      <c r="I49" s="34" t="s">
        <v>384</v>
      </c>
      <c r="J49" s="39"/>
      <c r="K49" s="35" t="s">
        <v>385</v>
      </c>
      <c r="L49" s="34"/>
      <c r="M49" s="34"/>
      <c r="N49" s="34"/>
      <c r="O49" s="34" t="s">
        <v>386</v>
      </c>
      <c r="P49" s="34"/>
      <c r="Q49" s="36" t="s">
        <v>387</v>
      </c>
      <c r="R49" s="36"/>
      <c r="S49" s="37"/>
    </row>
    <row r="50" spans="2:19">
      <c r="B50" s="38"/>
      <c r="C50" s="44" t="s">
        <v>388</v>
      </c>
      <c r="D50" s="45"/>
      <c r="E50" s="45"/>
      <c r="F50" s="45"/>
      <c r="G50" s="45"/>
      <c r="H50" s="45"/>
      <c r="I50" s="45"/>
      <c r="J50" s="45"/>
      <c r="K50" s="34"/>
      <c r="L50" s="34"/>
      <c r="M50" s="34"/>
      <c r="N50" s="46"/>
      <c r="O50" s="34"/>
      <c r="P50" s="34"/>
      <c r="Q50" s="36"/>
      <c r="R50" s="36"/>
      <c r="S50" s="37"/>
    </row>
    <row r="51" spans="2:19">
      <c r="B51" s="32" t="s">
        <v>389</v>
      </c>
      <c r="C51" s="33" t="s">
        <v>390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7" t="s">
        <v>391</v>
      </c>
      <c r="D52" s="34"/>
      <c r="E52" s="35"/>
      <c r="F52" s="35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6"/>
      <c r="R52" s="36"/>
      <c r="S52" s="37"/>
    </row>
    <row r="53" spans="2:19">
      <c r="B53" s="32"/>
      <c r="C53" s="48" t="s">
        <v>392</v>
      </c>
      <c r="D53" s="34"/>
      <c r="E53" s="35"/>
      <c r="F53" s="35" t="s">
        <v>393</v>
      </c>
      <c r="G53" s="34"/>
      <c r="H53" s="34"/>
      <c r="I53" s="34" t="s">
        <v>394</v>
      </c>
      <c r="J53" s="34"/>
      <c r="K53" s="34"/>
      <c r="L53" s="34" t="s">
        <v>395</v>
      </c>
      <c r="M53" s="34"/>
      <c r="N53" s="34"/>
      <c r="O53" s="34"/>
      <c r="P53" s="34"/>
      <c r="Q53" s="36"/>
      <c r="R53" s="36"/>
      <c r="S53" s="37"/>
    </row>
    <row r="54" spans="2:19">
      <c r="B54" s="38"/>
      <c r="C54" s="34"/>
      <c r="D54" s="34"/>
      <c r="E54" s="35"/>
      <c r="F54" s="35" t="s">
        <v>396</v>
      </c>
      <c r="G54" s="34"/>
      <c r="H54" s="34"/>
      <c r="I54" s="34" t="s">
        <v>397</v>
      </c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32" t="s">
        <v>398</v>
      </c>
      <c r="C55" s="33" t="s">
        <v>399</v>
      </c>
      <c r="D55" s="34"/>
      <c r="E55" s="35"/>
      <c r="F55" s="35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6"/>
      <c r="R55" s="36"/>
      <c r="S55" s="37"/>
    </row>
    <row r="56" spans="2:19">
      <c r="B56" s="40"/>
      <c r="C56" s="41" t="s">
        <v>400</v>
      </c>
      <c r="D56" s="41"/>
      <c r="E56" s="42"/>
      <c r="F56" s="42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3"/>
      <c r="R56" s="43"/>
      <c r="S56" s="49"/>
    </row>
  </sheetData>
  <mergeCells count="14">
    <mergeCell ref="S7:W7"/>
    <mergeCell ref="X7:X8"/>
    <mergeCell ref="B4:X4"/>
    <mergeCell ref="B7:B8"/>
    <mergeCell ref="C7:C8"/>
    <mergeCell ref="D7:H7"/>
    <mergeCell ref="I7:M7"/>
    <mergeCell ref="N7:R7"/>
    <mergeCell ref="B10:C10"/>
    <mergeCell ref="B18:C18"/>
    <mergeCell ref="B26:C26"/>
    <mergeCell ref="B34:C34"/>
    <mergeCell ref="B42:C42"/>
    <mergeCell ref="B45:C4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X55"/>
  <sheetViews>
    <sheetView topLeftCell="A32" zoomScale="85" zoomScaleNormal="85" workbookViewId="0">
      <selection activeCell="H44" sqref="H44"/>
    </sheetView>
  </sheetViews>
  <sheetFormatPr defaultRowHeight="15"/>
  <cols>
    <col min="2" max="2" width="9.710937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43313</v>
      </c>
      <c r="C9" s="23" t="s">
        <v>161</v>
      </c>
      <c r="D9" s="6"/>
      <c r="E9" s="7"/>
      <c r="F9" s="7"/>
      <c r="G9" s="8"/>
      <c r="H9" s="9" t="str">
        <f>IF(G9="","",G9-8)</f>
        <v/>
      </c>
      <c r="I9" s="10"/>
      <c r="J9" s="7"/>
      <c r="K9" s="7"/>
      <c r="L9" s="8"/>
      <c r="M9" s="9" t="str">
        <f>IF(L9="","",L9-8)</f>
        <v/>
      </c>
      <c r="N9" s="10"/>
      <c r="O9" s="7"/>
      <c r="P9" s="7"/>
      <c r="Q9" s="8"/>
      <c r="R9" s="9" t="str">
        <f>IF(Q9="","",Q9-8)</f>
        <v/>
      </c>
      <c r="S9" s="6"/>
      <c r="T9" s="7"/>
      <c r="U9" s="7"/>
      <c r="V9" s="8"/>
      <c r="W9" s="9" t="str">
        <f>IF(V9="","",V9-8)</f>
        <v/>
      </c>
      <c r="X9" s="11"/>
    </row>
    <row r="10" spans="2:24">
      <c r="B10" s="5">
        <v>43314</v>
      </c>
      <c r="C10" s="23" t="s">
        <v>162</v>
      </c>
      <c r="D10" s="6"/>
      <c r="E10" s="7"/>
      <c r="F10" s="7"/>
      <c r="G10" s="8"/>
      <c r="H10" s="9" t="str">
        <f>IF(G10="","",G10-8)</f>
        <v/>
      </c>
      <c r="I10" s="10"/>
      <c r="J10" s="7"/>
      <c r="K10" s="7"/>
      <c r="L10" s="8"/>
      <c r="M10" s="9" t="str">
        <f>IF(L10="","",L10-8)</f>
        <v/>
      </c>
      <c r="N10" s="10"/>
      <c r="O10" s="7"/>
      <c r="P10" s="7"/>
      <c r="Q10" s="8"/>
      <c r="R10" s="9" t="str">
        <f>IF(Q10="","",Q10-8)</f>
        <v/>
      </c>
      <c r="S10" s="6"/>
      <c r="T10" s="7"/>
      <c r="U10" s="7"/>
      <c r="V10" s="8"/>
      <c r="W10" s="9" t="str">
        <f>IF(V10="","",V10-8)</f>
        <v/>
      </c>
      <c r="X10" s="11"/>
    </row>
    <row r="11" spans="2:24">
      <c r="B11" s="5">
        <v>43315</v>
      </c>
      <c r="C11" s="23" t="s">
        <v>163</v>
      </c>
      <c r="D11" s="6"/>
      <c r="E11" s="7"/>
      <c r="F11" s="7"/>
      <c r="G11" s="8"/>
      <c r="H11" s="9" t="str">
        <f>IF(G11="","",G11-8)</f>
        <v/>
      </c>
      <c r="I11" s="10"/>
      <c r="J11" s="7"/>
      <c r="K11" s="7"/>
      <c r="L11" s="8"/>
      <c r="M11" s="9" t="str">
        <f>IF(L11="","",L11-8)</f>
        <v/>
      </c>
      <c r="N11" s="10"/>
      <c r="O11" s="7"/>
      <c r="P11" s="7"/>
      <c r="Q11" s="8"/>
      <c r="R11" s="9" t="str">
        <f>IF(Q11="","",Q11-8)</f>
        <v/>
      </c>
      <c r="S11" s="6"/>
      <c r="T11" s="7"/>
      <c r="U11" s="7"/>
      <c r="V11" s="8"/>
      <c r="W11" s="9" t="str">
        <f>IF(V11="","",V11-8)</f>
        <v/>
      </c>
      <c r="X11" s="11"/>
    </row>
    <row r="12" spans="2:24">
      <c r="B12" s="12">
        <v>43316</v>
      </c>
      <c r="C12" s="24" t="s">
        <v>164</v>
      </c>
      <c r="D12" s="13"/>
      <c r="E12" s="14"/>
      <c r="F12" s="14"/>
      <c r="G12" s="15"/>
      <c r="H12" s="16"/>
      <c r="I12" s="13"/>
      <c r="J12" s="14"/>
      <c r="K12" s="14"/>
      <c r="L12" s="15"/>
      <c r="M12" s="16"/>
      <c r="N12" s="13"/>
      <c r="O12" s="14"/>
      <c r="P12" s="14"/>
      <c r="Q12" s="15"/>
      <c r="R12" s="16"/>
      <c r="S12" s="13"/>
      <c r="T12" s="14"/>
      <c r="U12" s="14"/>
      <c r="V12" s="15"/>
      <c r="W12" s="16"/>
      <c r="X12" s="17"/>
    </row>
    <row r="13" spans="2:24">
      <c r="B13" s="12">
        <v>43317</v>
      </c>
      <c r="C13" s="24" t="s">
        <v>159</v>
      </c>
      <c r="D13" s="13"/>
      <c r="E13" s="14"/>
      <c r="F13" s="14"/>
      <c r="G13" s="15"/>
      <c r="H13" s="16"/>
      <c r="I13" s="13"/>
      <c r="J13" s="14"/>
      <c r="K13" s="14"/>
      <c r="L13" s="15"/>
      <c r="M13" s="16"/>
      <c r="N13" s="13"/>
      <c r="O13" s="14"/>
      <c r="P13" s="14"/>
      <c r="Q13" s="15"/>
      <c r="R13" s="16"/>
      <c r="S13" s="13"/>
      <c r="T13" s="14"/>
      <c r="U13" s="14"/>
      <c r="V13" s="15"/>
      <c r="W13" s="16"/>
      <c r="X13" s="17"/>
    </row>
    <row r="14" spans="2:24">
      <c r="B14" s="51" t="s">
        <v>309</v>
      </c>
      <c r="C14" s="52"/>
      <c r="D14" s="18"/>
      <c r="E14" s="19"/>
      <c r="F14" s="19"/>
      <c r="G14" s="20"/>
      <c r="H14" s="21">
        <f>SUM(H$9:H13,'2018.7'!H$43:H$44)</f>
        <v>0</v>
      </c>
      <c r="I14" s="18"/>
      <c r="J14" s="19"/>
      <c r="K14" s="19"/>
      <c r="L14" s="20"/>
      <c r="M14" s="21">
        <f>SUM(M$9:M13,'2018.7'!M$43:M$44)</f>
        <v>0</v>
      </c>
      <c r="N14" s="18"/>
      <c r="O14" s="19"/>
      <c r="P14" s="19"/>
      <c r="Q14" s="20"/>
      <c r="R14" s="21">
        <f>SUM(R$9:R13,'2018.7'!R$43:R$44)</f>
        <v>0</v>
      </c>
      <c r="S14" s="18"/>
      <c r="T14" s="19"/>
      <c r="U14" s="19"/>
      <c r="V14" s="20"/>
      <c r="W14" s="21">
        <f>SUM(W$9:W13,'2018.7'!W$43:W$44)</f>
        <v>0</v>
      </c>
      <c r="X14" s="22"/>
    </row>
    <row r="15" spans="2:24">
      <c r="B15" s="5">
        <v>43318</v>
      </c>
      <c r="C15" s="23" t="s">
        <v>6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5">
        <v>43319</v>
      </c>
      <c r="C16" s="23" t="s">
        <v>166</v>
      </c>
      <c r="D16" s="6"/>
      <c r="E16" s="7"/>
      <c r="F16" s="7"/>
      <c r="G16" s="8"/>
      <c r="H16" s="9" t="str">
        <f>IF(G16="","",G16-8)</f>
        <v/>
      </c>
      <c r="I16" s="10"/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/>
      <c r="T16" s="7"/>
      <c r="U16" s="7"/>
      <c r="V16" s="8"/>
      <c r="W16" s="9" t="str">
        <f>IF(V16="","",V16-8)</f>
        <v/>
      </c>
      <c r="X16" s="11"/>
    </row>
    <row r="17" spans="2:24">
      <c r="B17" s="5">
        <v>43320</v>
      </c>
      <c r="C17" s="23" t="s">
        <v>167</v>
      </c>
      <c r="D17" s="6"/>
      <c r="E17" s="7"/>
      <c r="F17" s="7"/>
      <c r="G17" s="8"/>
      <c r="H17" s="9" t="str">
        <f>IF(G17="","",G17-8)</f>
        <v/>
      </c>
      <c r="I17" s="10"/>
      <c r="J17" s="7"/>
      <c r="K17" s="7"/>
      <c r="L17" s="8"/>
      <c r="M17" s="9" t="str">
        <f>IF(L17="","",L17-8)</f>
        <v/>
      </c>
      <c r="N17" s="10"/>
      <c r="O17" s="7"/>
      <c r="P17" s="7"/>
      <c r="Q17" s="8"/>
      <c r="R17" s="9" t="str">
        <f>IF(Q17="","",Q17-8)</f>
        <v/>
      </c>
      <c r="S17" s="6"/>
      <c r="T17" s="7"/>
      <c r="U17" s="7"/>
      <c r="V17" s="8"/>
      <c r="W17" s="9" t="str">
        <f>IF(V17="","",V17-8)</f>
        <v/>
      </c>
      <c r="X17" s="11"/>
    </row>
    <row r="18" spans="2:24">
      <c r="B18" s="5">
        <v>43321</v>
      </c>
      <c r="C18" s="23" t="s">
        <v>168</v>
      </c>
      <c r="D18" s="6"/>
      <c r="E18" s="7"/>
      <c r="F18" s="7"/>
      <c r="G18" s="8"/>
      <c r="H18" s="9" t="str">
        <f>IF(G18="","",G18-8)</f>
        <v/>
      </c>
      <c r="I18" s="10"/>
      <c r="J18" s="7"/>
      <c r="K18" s="7"/>
      <c r="L18" s="8"/>
      <c r="M18" s="9" t="str">
        <f>IF(L18="","",L18-8)</f>
        <v/>
      </c>
      <c r="N18" s="10"/>
      <c r="O18" s="7"/>
      <c r="P18" s="7"/>
      <c r="Q18" s="8"/>
      <c r="R18" s="9" t="str">
        <f>IF(Q18="","",Q18-8)</f>
        <v/>
      </c>
      <c r="S18" s="6"/>
      <c r="T18" s="7"/>
      <c r="U18" s="7"/>
      <c r="V18" s="8"/>
      <c r="W18" s="9" t="str">
        <f>IF(V18="","",V18-8)</f>
        <v/>
      </c>
      <c r="X18" s="11"/>
    </row>
    <row r="19" spans="2:24">
      <c r="B19" s="5">
        <v>43322</v>
      </c>
      <c r="C19" s="23" t="s">
        <v>169</v>
      </c>
      <c r="D19" s="6"/>
      <c r="E19" s="7"/>
      <c r="F19" s="7"/>
      <c r="G19" s="8"/>
      <c r="H19" s="9" t="str">
        <f>IF(G19="","",G19-8)</f>
        <v/>
      </c>
      <c r="I19" s="10"/>
      <c r="J19" s="7"/>
      <c r="K19" s="7"/>
      <c r="L19" s="8"/>
      <c r="M19" s="9" t="str">
        <f>IF(L19="","",L19-8)</f>
        <v/>
      </c>
      <c r="N19" s="10"/>
      <c r="O19" s="7"/>
      <c r="P19" s="7"/>
      <c r="Q19" s="8"/>
      <c r="R19" s="9" t="str">
        <f>IF(Q19="","",Q19-8)</f>
        <v/>
      </c>
      <c r="S19" s="6"/>
      <c r="T19" s="7"/>
      <c r="U19" s="7"/>
      <c r="V19" s="8"/>
      <c r="W19" s="9" t="str">
        <f>IF(V19="","",V19-8)</f>
        <v/>
      </c>
      <c r="X19" s="11"/>
    </row>
    <row r="20" spans="2:24">
      <c r="B20" s="12">
        <v>43323</v>
      </c>
      <c r="C20" s="24" t="s">
        <v>170</v>
      </c>
      <c r="D20" s="13"/>
      <c r="E20" s="14"/>
      <c r="F20" s="14"/>
      <c r="G20" s="15"/>
      <c r="H20" s="16"/>
      <c r="I20" s="13"/>
      <c r="J20" s="14"/>
      <c r="K20" s="14"/>
      <c r="L20" s="15"/>
      <c r="M20" s="16"/>
      <c r="N20" s="13"/>
      <c r="O20" s="14"/>
      <c r="P20" s="14"/>
      <c r="Q20" s="15"/>
      <c r="R20" s="16"/>
      <c r="S20" s="13"/>
      <c r="T20" s="14"/>
      <c r="U20" s="14"/>
      <c r="V20" s="15"/>
      <c r="W20" s="16"/>
      <c r="X20" s="17"/>
    </row>
    <row r="21" spans="2:24">
      <c r="B21" s="12">
        <v>43324</v>
      </c>
      <c r="C21" s="24" t="s">
        <v>165</v>
      </c>
      <c r="D21" s="13"/>
      <c r="E21" s="14"/>
      <c r="F21" s="14"/>
      <c r="G21" s="15"/>
      <c r="H21" s="16"/>
      <c r="I21" s="13"/>
      <c r="J21" s="14"/>
      <c r="K21" s="14"/>
      <c r="L21" s="15"/>
      <c r="M21" s="16"/>
      <c r="N21" s="13"/>
      <c r="O21" s="14"/>
      <c r="P21" s="14"/>
      <c r="Q21" s="15"/>
      <c r="R21" s="16"/>
      <c r="S21" s="13"/>
      <c r="T21" s="14"/>
      <c r="U21" s="14"/>
      <c r="V21" s="15"/>
      <c r="W21" s="16"/>
      <c r="X21" s="17"/>
    </row>
    <row r="22" spans="2:24">
      <c r="B22" s="51" t="s">
        <v>309</v>
      </c>
      <c r="C22" s="52"/>
      <c r="D22" s="18"/>
      <c r="E22" s="19"/>
      <c r="F22" s="19"/>
      <c r="G22" s="20"/>
      <c r="H22" s="21">
        <f>SUM(H15:H21)</f>
        <v>0</v>
      </c>
      <c r="I22" s="18"/>
      <c r="J22" s="19"/>
      <c r="K22" s="19"/>
      <c r="L22" s="20"/>
      <c r="M22" s="21">
        <f>SUM(M15:M21)</f>
        <v>0</v>
      </c>
      <c r="N22" s="18"/>
      <c r="O22" s="19"/>
      <c r="P22" s="19"/>
      <c r="Q22" s="20"/>
      <c r="R22" s="21">
        <f>SUM(R15:R21)</f>
        <v>0</v>
      </c>
      <c r="S22" s="18"/>
      <c r="T22" s="19"/>
      <c r="U22" s="19"/>
      <c r="V22" s="20"/>
      <c r="W22" s="21">
        <f>SUM(W15:W21)</f>
        <v>0</v>
      </c>
      <c r="X22" s="22"/>
    </row>
    <row r="23" spans="2:24">
      <c r="B23" s="5">
        <v>43325</v>
      </c>
      <c r="C23" s="23" t="s">
        <v>172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5">
        <v>43326</v>
      </c>
      <c r="C24" s="23" t="s">
        <v>173</v>
      </c>
      <c r="D24" s="6"/>
      <c r="E24" s="7"/>
      <c r="F24" s="7"/>
      <c r="G24" s="8"/>
      <c r="H24" s="9" t="str">
        <f>IF(G24="","",G24-8)</f>
        <v/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5">
        <v>43327</v>
      </c>
      <c r="C25" s="23" t="s">
        <v>174</v>
      </c>
      <c r="D25" s="6"/>
      <c r="E25" s="7"/>
      <c r="F25" s="7"/>
      <c r="G25" s="8"/>
      <c r="H25" s="9" t="str">
        <f>IF(G25="","",G25-8)</f>
        <v/>
      </c>
      <c r="I25" s="10"/>
      <c r="J25" s="7"/>
      <c r="K25" s="7"/>
      <c r="L25" s="8"/>
      <c r="M25" s="9" t="str">
        <f>IF(L25="","",L25-8)</f>
        <v/>
      </c>
      <c r="N25" s="10"/>
      <c r="O25" s="7"/>
      <c r="P25" s="7"/>
      <c r="Q25" s="8"/>
      <c r="R25" s="9" t="str">
        <f>IF(Q25="","",Q25-8)</f>
        <v/>
      </c>
      <c r="S25" s="6"/>
      <c r="T25" s="7"/>
      <c r="U25" s="7"/>
      <c r="V25" s="8"/>
      <c r="W25" s="9" t="str">
        <f>IF(V25="","",V25-8)</f>
        <v/>
      </c>
      <c r="X25" s="11"/>
    </row>
    <row r="26" spans="2:24">
      <c r="B26" s="5">
        <v>43328</v>
      </c>
      <c r="C26" s="23" t="s">
        <v>175</v>
      </c>
      <c r="D26" s="6"/>
      <c r="E26" s="7"/>
      <c r="F26" s="7"/>
      <c r="G26" s="8"/>
      <c r="H26" s="9" t="str">
        <f>IF(G26="","",G26-8)</f>
        <v/>
      </c>
      <c r="I26" s="10"/>
      <c r="J26" s="7"/>
      <c r="K26" s="7"/>
      <c r="L26" s="8"/>
      <c r="M26" s="9" t="str">
        <f>IF(L26="","",L26-8)</f>
        <v/>
      </c>
      <c r="N26" s="10"/>
      <c r="O26" s="7"/>
      <c r="P26" s="7"/>
      <c r="Q26" s="8"/>
      <c r="R26" s="9" t="str">
        <f>IF(Q26="","",Q26-8)</f>
        <v/>
      </c>
      <c r="S26" s="6"/>
      <c r="T26" s="7"/>
      <c r="U26" s="7"/>
      <c r="V26" s="8"/>
      <c r="W26" s="9" t="str">
        <f>IF(V26="","",V26-8)</f>
        <v/>
      </c>
      <c r="X26" s="11"/>
    </row>
    <row r="27" spans="2:24">
      <c r="B27" s="5">
        <v>43329</v>
      </c>
      <c r="C27" s="23" t="s">
        <v>176</v>
      </c>
      <c r="D27" s="6"/>
      <c r="E27" s="7"/>
      <c r="F27" s="7"/>
      <c r="G27" s="8"/>
      <c r="H27" s="9" t="str">
        <f>IF(G27="","",G27-8)</f>
        <v/>
      </c>
      <c r="I27" s="10"/>
      <c r="J27" s="7"/>
      <c r="K27" s="7"/>
      <c r="L27" s="8"/>
      <c r="M27" s="9" t="str">
        <f>IF(L27="","",L27-8)</f>
        <v/>
      </c>
      <c r="N27" s="10"/>
      <c r="O27" s="7"/>
      <c r="P27" s="7"/>
      <c r="Q27" s="8"/>
      <c r="R27" s="9" t="str">
        <f>IF(Q27="","",Q27-8)</f>
        <v/>
      </c>
      <c r="S27" s="6"/>
      <c r="T27" s="7"/>
      <c r="U27" s="7"/>
      <c r="V27" s="8"/>
      <c r="W27" s="9" t="str">
        <f>IF(V27="","",V27-8)</f>
        <v/>
      </c>
      <c r="X27" s="11"/>
    </row>
    <row r="28" spans="2:24">
      <c r="B28" s="12">
        <v>43330</v>
      </c>
      <c r="C28" s="24" t="s">
        <v>177</v>
      </c>
      <c r="D28" s="13"/>
      <c r="E28" s="14"/>
      <c r="F28" s="14"/>
      <c r="G28" s="15"/>
      <c r="H28" s="16"/>
      <c r="I28" s="13"/>
      <c r="J28" s="14"/>
      <c r="K28" s="14"/>
      <c r="L28" s="15"/>
      <c r="M28" s="16"/>
      <c r="N28" s="13"/>
      <c r="O28" s="14"/>
      <c r="P28" s="14"/>
      <c r="Q28" s="15"/>
      <c r="R28" s="16"/>
      <c r="S28" s="13"/>
      <c r="T28" s="14"/>
      <c r="U28" s="14"/>
      <c r="V28" s="15"/>
      <c r="W28" s="16"/>
      <c r="X28" s="17"/>
    </row>
    <row r="29" spans="2:24">
      <c r="B29" s="12">
        <v>43331</v>
      </c>
      <c r="C29" s="24" t="s">
        <v>171</v>
      </c>
      <c r="D29" s="13"/>
      <c r="E29" s="14"/>
      <c r="F29" s="14"/>
      <c r="G29" s="15"/>
      <c r="H29" s="16"/>
      <c r="I29" s="13"/>
      <c r="J29" s="14"/>
      <c r="K29" s="14"/>
      <c r="L29" s="15"/>
      <c r="M29" s="16"/>
      <c r="N29" s="13"/>
      <c r="O29" s="14"/>
      <c r="P29" s="14"/>
      <c r="Q29" s="15"/>
      <c r="R29" s="16"/>
      <c r="S29" s="13"/>
      <c r="T29" s="14"/>
      <c r="U29" s="14"/>
      <c r="V29" s="15"/>
      <c r="W29" s="16"/>
      <c r="X29" s="17"/>
    </row>
    <row r="30" spans="2:24">
      <c r="B30" s="51" t="s">
        <v>309</v>
      </c>
      <c r="C30" s="52"/>
      <c r="D30" s="18"/>
      <c r="E30" s="19"/>
      <c r="F30" s="19"/>
      <c r="G30" s="20"/>
      <c r="H30" s="21">
        <f>SUM(H23:H29)</f>
        <v>0</v>
      </c>
      <c r="I30" s="18"/>
      <c r="J30" s="19"/>
      <c r="K30" s="19"/>
      <c r="L30" s="20"/>
      <c r="M30" s="21">
        <f>SUM(M23:M29)</f>
        <v>0</v>
      </c>
      <c r="N30" s="18"/>
      <c r="O30" s="19"/>
      <c r="P30" s="19"/>
      <c r="Q30" s="20"/>
      <c r="R30" s="21">
        <f>SUM(R23:R29)</f>
        <v>0</v>
      </c>
      <c r="S30" s="18"/>
      <c r="T30" s="19"/>
      <c r="U30" s="19"/>
      <c r="V30" s="20"/>
      <c r="W30" s="21">
        <f>SUM(W23:W29)</f>
        <v>0</v>
      </c>
      <c r="X30" s="22"/>
    </row>
    <row r="31" spans="2:24">
      <c r="B31" s="5">
        <v>43332</v>
      </c>
      <c r="C31" s="23" t="s">
        <v>179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5">
        <v>43333</v>
      </c>
      <c r="C32" s="23" t="s">
        <v>180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5">
        <v>43334</v>
      </c>
      <c r="C33" s="23" t="s">
        <v>181</v>
      </c>
      <c r="D33" s="6"/>
      <c r="E33" s="7"/>
      <c r="F33" s="7"/>
      <c r="G33" s="8"/>
      <c r="H33" s="9" t="str">
        <f>IF(G33="","",G33-8)</f>
        <v/>
      </c>
      <c r="I33" s="10"/>
      <c r="J33" s="7"/>
      <c r="K33" s="7"/>
      <c r="L33" s="8"/>
      <c r="M33" s="9" t="str">
        <f>IF(L33="","",L33-8)</f>
        <v/>
      </c>
      <c r="N33" s="10"/>
      <c r="O33" s="7"/>
      <c r="P33" s="7"/>
      <c r="Q33" s="8"/>
      <c r="R33" s="9" t="str">
        <f>IF(Q33="","",Q33-8)</f>
        <v/>
      </c>
      <c r="S33" s="6"/>
      <c r="T33" s="7"/>
      <c r="U33" s="7"/>
      <c r="V33" s="8"/>
      <c r="W33" s="9" t="str">
        <f>IF(V33="","",V33-8)</f>
        <v/>
      </c>
      <c r="X33" s="11"/>
    </row>
    <row r="34" spans="2:24">
      <c r="B34" s="5">
        <v>43335</v>
      </c>
      <c r="C34" s="23" t="s">
        <v>182</v>
      </c>
      <c r="D34" s="6"/>
      <c r="E34" s="7"/>
      <c r="F34" s="7"/>
      <c r="G34" s="8"/>
      <c r="H34" s="9" t="str">
        <f>IF(G34="","",G34-8)</f>
        <v/>
      </c>
      <c r="I34" s="10"/>
      <c r="J34" s="7"/>
      <c r="K34" s="7"/>
      <c r="L34" s="8"/>
      <c r="M34" s="9" t="str">
        <f>IF(L34="","",L34-8)</f>
        <v/>
      </c>
      <c r="N34" s="10"/>
      <c r="O34" s="7"/>
      <c r="P34" s="7"/>
      <c r="Q34" s="8"/>
      <c r="R34" s="9" t="str">
        <f>IF(Q34="","",Q34-8)</f>
        <v/>
      </c>
      <c r="S34" s="6"/>
      <c r="T34" s="7"/>
      <c r="U34" s="7"/>
      <c r="V34" s="8"/>
      <c r="W34" s="9" t="str">
        <f>IF(V34="","",V34-8)</f>
        <v/>
      </c>
      <c r="X34" s="11"/>
    </row>
    <row r="35" spans="2:24">
      <c r="B35" s="5">
        <v>43336</v>
      </c>
      <c r="C35" s="23" t="s">
        <v>183</v>
      </c>
      <c r="D35" s="6"/>
      <c r="E35" s="7"/>
      <c r="F35" s="7"/>
      <c r="G35" s="8"/>
      <c r="H35" s="9" t="str">
        <f>IF(G35="","",G35-8)</f>
        <v/>
      </c>
      <c r="I35" s="10"/>
      <c r="J35" s="7"/>
      <c r="K35" s="7"/>
      <c r="L35" s="8"/>
      <c r="M35" s="9" t="str">
        <f>IF(L35="","",L35-8)</f>
        <v/>
      </c>
      <c r="N35" s="10"/>
      <c r="O35" s="7"/>
      <c r="P35" s="7"/>
      <c r="Q35" s="8"/>
      <c r="R35" s="9" t="str">
        <f>IF(Q35="","",Q35-8)</f>
        <v/>
      </c>
      <c r="S35" s="6"/>
      <c r="T35" s="7"/>
      <c r="U35" s="7"/>
      <c r="V35" s="8"/>
      <c r="W35" s="9" t="str">
        <f>IF(V35="","",V35-8)</f>
        <v/>
      </c>
      <c r="X35" s="11"/>
    </row>
    <row r="36" spans="2:24">
      <c r="B36" s="12">
        <v>43337</v>
      </c>
      <c r="C36" s="24" t="s">
        <v>184</v>
      </c>
      <c r="D36" s="13"/>
      <c r="E36" s="14"/>
      <c r="F36" s="14"/>
      <c r="G36" s="15"/>
      <c r="H36" s="16"/>
      <c r="I36" s="13"/>
      <c r="J36" s="14"/>
      <c r="K36" s="14"/>
      <c r="L36" s="15"/>
      <c r="M36" s="16"/>
      <c r="N36" s="13"/>
      <c r="O36" s="14"/>
      <c r="P36" s="14"/>
      <c r="Q36" s="15"/>
      <c r="R36" s="16"/>
      <c r="S36" s="13"/>
      <c r="T36" s="14"/>
      <c r="U36" s="14"/>
      <c r="V36" s="15"/>
      <c r="W36" s="16"/>
      <c r="X36" s="17"/>
    </row>
    <row r="37" spans="2:24">
      <c r="B37" s="12">
        <v>43338</v>
      </c>
      <c r="C37" s="24" t="s">
        <v>178</v>
      </c>
      <c r="D37" s="13"/>
      <c r="E37" s="14"/>
      <c r="F37" s="14"/>
      <c r="G37" s="15"/>
      <c r="H37" s="16"/>
      <c r="I37" s="13"/>
      <c r="J37" s="14"/>
      <c r="K37" s="14"/>
      <c r="L37" s="15"/>
      <c r="M37" s="16"/>
      <c r="N37" s="13"/>
      <c r="O37" s="14"/>
      <c r="P37" s="14"/>
      <c r="Q37" s="15"/>
      <c r="R37" s="16"/>
      <c r="S37" s="13"/>
      <c r="T37" s="14"/>
      <c r="U37" s="14"/>
      <c r="V37" s="15"/>
      <c r="W37" s="16"/>
      <c r="X37" s="17"/>
    </row>
    <row r="38" spans="2:24">
      <c r="B38" s="51" t="s">
        <v>309</v>
      </c>
      <c r="C38" s="52"/>
      <c r="D38" s="18"/>
      <c r="E38" s="19"/>
      <c r="F38" s="19"/>
      <c r="G38" s="20"/>
      <c r="H38" s="21">
        <f>SUM(H31:H37)</f>
        <v>0</v>
      </c>
      <c r="I38" s="18"/>
      <c r="J38" s="19"/>
      <c r="K38" s="19"/>
      <c r="L38" s="20"/>
      <c r="M38" s="21">
        <f>SUM(M31:M37)</f>
        <v>0</v>
      </c>
      <c r="N38" s="18"/>
      <c r="O38" s="19"/>
      <c r="P38" s="19"/>
      <c r="Q38" s="20"/>
      <c r="R38" s="21">
        <f>SUM(R31:R37)</f>
        <v>0</v>
      </c>
      <c r="S38" s="18"/>
      <c r="T38" s="19"/>
      <c r="U38" s="19"/>
      <c r="V38" s="20"/>
      <c r="W38" s="21">
        <f>SUM(W31:W37)</f>
        <v>0</v>
      </c>
      <c r="X38" s="22"/>
    </row>
    <row r="39" spans="2:24">
      <c r="B39" s="5">
        <v>43339</v>
      </c>
      <c r="C39" s="23" t="s">
        <v>186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5">
        <v>43340</v>
      </c>
      <c r="C40" s="23" t="s">
        <v>187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5">
        <v>43341</v>
      </c>
      <c r="C41" s="23" t="s">
        <v>188</v>
      </c>
      <c r="D41" s="6"/>
      <c r="E41" s="7"/>
      <c r="F41" s="7"/>
      <c r="G41" s="8"/>
      <c r="H41" s="9" t="str">
        <f>IF(G41="","",G41-8)</f>
        <v/>
      </c>
      <c r="I41" s="10"/>
      <c r="J41" s="7"/>
      <c r="K41" s="7"/>
      <c r="L41" s="8"/>
      <c r="M41" s="9" t="str">
        <f>IF(L41="","",L41-8)</f>
        <v/>
      </c>
      <c r="N41" s="10"/>
      <c r="O41" s="7"/>
      <c r="P41" s="7"/>
      <c r="Q41" s="8"/>
      <c r="R41" s="9" t="str">
        <f>IF(Q41="","",Q41-8)</f>
        <v/>
      </c>
      <c r="S41" s="6"/>
      <c r="T41" s="7"/>
      <c r="U41" s="7"/>
      <c r="V41" s="8"/>
      <c r="W41" s="9" t="str">
        <f>IF(V41="","",V41-8)</f>
        <v/>
      </c>
      <c r="X41" s="11"/>
    </row>
    <row r="42" spans="2:24">
      <c r="B42" s="5">
        <v>43342</v>
      </c>
      <c r="C42" s="23" t="s">
        <v>189</v>
      </c>
      <c r="D42" s="6"/>
      <c r="E42" s="7"/>
      <c r="F42" s="7"/>
      <c r="G42" s="8"/>
      <c r="H42" s="9" t="str">
        <f>IF(G42="","",G42-8)</f>
        <v/>
      </c>
      <c r="I42" s="10"/>
      <c r="J42" s="7"/>
      <c r="K42" s="7"/>
      <c r="L42" s="8"/>
      <c r="M42" s="9" t="str">
        <f>IF(L42="","",L42-8)</f>
        <v/>
      </c>
      <c r="N42" s="10"/>
      <c r="O42" s="7"/>
      <c r="P42" s="7"/>
      <c r="Q42" s="8"/>
      <c r="R42" s="9" t="str">
        <f>IF(Q42="","",Q42-8)</f>
        <v/>
      </c>
      <c r="S42" s="6"/>
      <c r="T42" s="7"/>
      <c r="U42" s="7"/>
      <c r="V42" s="8"/>
      <c r="W42" s="9" t="str">
        <f>IF(V42="","",V42-8)</f>
        <v/>
      </c>
      <c r="X42" s="11"/>
    </row>
    <row r="43" spans="2:24">
      <c r="B43" s="5">
        <v>43343</v>
      </c>
      <c r="C43" s="23" t="s">
        <v>17</v>
      </c>
      <c r="D43" s="6"/>
      <c r="E43" s="7"/>
      <c r="F43" s="7"/>
      <c r="G43" s="8"/>
      <c r="H43" s="9" t="str">
        <f>IF(G43="","",G43-8)</f>
        <v/>
      </c>
      <c r="I43" s="10"/>
      <c r="J43" s="7"/>
      <c r="K43" s="7"/>
      <c r="L43" s="8"/>
      <c r="M43" s="9" t="str">
        <f>IF(L43="","",L43-8)</f>
        <v/>
      </c>
      <c r="N43" s="10"/>
      <c r="O43" s="7"/>
      <c r="P43" s="7"/>
      <c r="Q43" s="8"/>
      <c r="R43" s="9" t="str">
        <f>IF(Q43="","",Q43-8)</f>
        <v/>
      </c>
      <c r="S43" s="6"/>
      <c r="T43" s="7"/>
      <c r="U43" s="7"/>
      <c r="V43" s="8"/>
      <c r="W43" s="9" t="str">
        <f>IF(V43="","",V43-8)</f>
        <v/>
      </c>
      <c r="X43" s="11"/>
    </row>
    <row r="44" spans="2:24">
      <c r="B44" s="50" t="s">
        <v>401</v>
      </c>
      <c r="C44" s="50"/>
      <c r="D44" s="1"/>
      <c r="E44" s="1"/>
      <c r="F44" s="1"/>
      <c r="G44" s="1"/>
      <c r="H44" s="25">
        <f>SUM(SUMIF($B$9:$B$50,"Total hours",H$9:H$50),'2018.7'!H$45:H$45)</f>
        <v>166</v>
      </c>
      <c r="I44" s="1"/>
      <c r="J44" s="1"/>
      <c r="K44" s="1"/>
      <c r="L44" s="1"/>
      <c r="M44" s="25">
        <f>SUM(SUMIF($B$9:$B$50,"Total hours",M$9:M$50),'2018.7'!M$45:M$45)</f>
        <v>95</v>
      </c>
      <c r="N44" s="1"/>
      <c r="O44" s="1"/>
      <c r="P44" s="1"/>
      <c r="Q44" s="1"/>
      <c r="R44" s="25">
        <f>SUM(SUMIF($B$9:$B$50,"Total hours",R$9:R$50),'2018.7'!R$45:R$45)</f>
        <v>61.5</v>
      </c>
      <c r="S44" s="1"/>
      <c r="T44" s="1"/>
      <c r="U44" s="1"/>
      <c r="V44" s="1"/>
      <c r="W44" s="25">
        <f>SUM(SUMIF($B$9:$B$50,"Total hours",W$9:W$50),'2018.7'!W$45:W$45)</f>
        <v>14.5</v>
      </c>
      <c r="X44" s="26"/>
    </row>
    <row r="46" spans="2:24">
      <c r="B46" s="27" t="s">
        <v>379</v>
      </c>
      <c r="C46" s="28"/>
      <c r="D46" s="28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0"/>
      <c r="R46" s="30"/>
      <c r="S46" s="31"/>
    </row>
    <row r="47" spans="2:24">
      <c r="B47" s="32" t="s">
        <v>380</v>
      </c>
      <c r="C47" s="33" t="s">
        <v>381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8"/>
      <c r="C48" s="34" t="s">
        <v>382</v>
      </c>
      <c r="D48" s="39"/>
      <c r="E48" s="35" t="s">
        <v>383</v>
      </c>
      <c r="F48" s="35"/>
      <c r="G48" s="34"/>
      <c r="H48" s="34"/>
      <c r="I48" s="34" t="s">
        <v>384</v>
      </c>
      <c r="J48" s="39"/>
      <c r="K48" s="35" t="s">
        <v>385</v>
      </c>
      <c r="L48" s="34"/>
      <c r="M48" s="34"/>
      <c r="N48" s="34"/>
      <c r="O48" s="34" t="s">
        <v>386</v>
      </c>
      <c r="P48" s="34"/>
      <c r="Q48" s="36" t="s">
        <v>387</v>
      </c>
      <c r="R48" s="36"/>
      <c r="S48" s="37"/>
    </row>
    <row r="49" spans="2:19">
      <c r="B49" s="38"/>
      <c r="C49" s="44" t="s">
        <v>388</v>
      </c>
      <c r="D49" s="45"/>
      <c r="E49" s="45"/>
      <c r="F49" s="45"/>
      <c r="G49" s="45"/>
      <c r="H49" s="45"/>
      <c r="I49" s="45"/>
      <c r="J49" s="45"/>
      <c r="K49" s="34"/>
      <c r="L49" s="34"/>
      <c r="M49" s="34"/>
      <c r="N49" s="46"/>
      <c r="O49" s="34"/>
      <c r="P49" s="34"/>
      <c r="Q49" s="36"/>
      <c r="R49" s="36"/>
      <c r="S49" s="37"/>
    </row>
    <row r="50" spans="2:19">
      <c r="B50" s="32" t="s">
        <v>389</v>
      </c>
      <c r="C50" s="33" t="s">
        <v>390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7" t="s">
        <v>391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8" t="s">
        <v>392</v>
      </c>
      <c r="D52" s="34"/>
      <c r="E52" s="35"/>
      <c r="F52" s="35" t="s">
        <v>393</v>
      </c>
      <c r="G52" s="34"/>
      <c r="H52" s="34"/>
      <c r="I52" s="34" t="s">
        <v>394</v>
      </c>
      <c r="J52" s="34"/>
      <c r="K52" s="34"/>
      <c r="L52" s="34" t="s">
        <v>395</v>
      </c>
      <c r="M52" s="34"/>
      <c r="N52" s="34"/>
      <c r="O52" s="34"/>
      <c r="P52" s="34"/>
      <c r="Q52" s="36"/>
      <c r="R52" s="36"/>
      <c r="S52" s="37"/>
    </row>
    <row r="53" spans="2:19">
      <c r="B53" s="38"/>
      <c r="C53" s="34"/>
      <c r="D53" s="34"/>
      <c r="E53" s="35"/>
      <c r="F53" s="35" t="s">
        <v>396</v>
      </c>
      <c r="G53" s="34"/>
      <c r="H53" s="34"/>
      <c r="I53" s="34" t="s">
        <v>397</v>
      </c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32" t="s">
        <v>398</v>
      </c>
      <c r="C54" s="33" t="s">
        <v>399</v>
      </c>
      <c r="D54" s="34"/>
      <c r="E54" s="35"/>
      <c r="F54" s="35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40"/>
      <c r="C55" s="41" t="s">
        <v>400</v>
      </c>
      <c r="D55" s="41"/>
      <c r="E55" s="42"/>
      <c r="F55" s="42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3"/>
      <c r="R55" s="43"/>
      <c r="S55" s="49"/>
    </row>
  </sheetData>
  <mergeCells count="13">
    <mergeCell ref="X7:X8"/>
    <mergeCell ref="B4:X4"/>
    <mergeCell ref="B7:B8"/>
    <mergeCell ref="C7:C8"/>
    <mergeCell ref="D7:H7"/>
    <mergeCell ref="I7:M7"/>
    <mergeCell ref="N7:R7"/>
    <mergeCell ref="S7:W7"/>
    <mergeCell ref="B14:C14"/>
    <mergeCell ref="B22:C22"/>
    <mergeCell ref="B30:C30"/>
    <mergeCell ref="B38:C38"/>
    <mergeCell ref="B44:C4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X55"/>
  <sheetViews>
    <sheetView topLeftCell="A44" zoomScale="85" zoomScaleNormal="85" workbookViewId="0">
      <selection activeCell="B46" sqref="B46:S55"/>
    </sheetView>
  </sheetViews>
  <sheetFormatPr defaultRowHeight="15"/>
  <cols>
    <col min="2" max="3" width="9.710937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12">
        <v>43344</v>
      </c>
      <c r="C9" s="24" t="s">
        <v>190</v>
      </c>
      <c r="D9" s="13"/>
      <c r="E9" s="14"/>
      <c r="F9" s="14"/>
      <c r="G9" s="15"/>
      <c r="H9" s="16"/>
      <c r="I9" s="13"/>
      <c r="J9" s="14"/>
      <c r="K9" s="14"/>
      <c r="L9" s="15"/>
      <c r="M9" s="16"/>
      <c r="N9" s="13"/>
      <c r="O9" s="14"/>
      <c r="P9" s="14"/>
      <c r="Q9" s="15"/>
      <c r="R9" s="16"/>
      <c r="S9" s="13"/>
      <c r="T9" s="14"/>
      <c r="U9" s="14"/>
      <c r="V9" s="15"/>
      <c r="W9" s="16"/>
      <c r="X9" s="17"/>
    </row>
    <row r="10" spans="2:24">
      <c r="B10" s="12">
        <v>43345</v>
      </c>
      <c r="C10" s="24" t="s">
        <v>185</v>
      </c>
      <c r="D10" s="13"/>
      <c r="E10" s="14"/>
      <c r="F10" s="14"/>
      <c r="G10" s="15"/>
      <c r="H10" s="16"/>
      <c r="I10" s="13"/>
      <c r="J10" s="14"/>
      <c r="K10" s="14"/>
      <c r="L10" s="15"/>
      <c r="M10" s="16"/>
      <c r="N10" s="13"/>
      <c r="O10" s="14"/>
      <c r="P10" s="14"/>
      <c r="Q10" s="15"/>
      <c r="R10" s="16"/>
      <c r="S10" s="13"/>
      <c r="T10" s="14"/>
      <c r="U10" s="14"/>
      <c r="V10" s="15"/>
      <c r="W10" s="16"/>
      <c r="X10" s="17"/>
    </row>
    <row r="11" spans="2:24">
      <c r="B11" s="51" t="s">
        <v>309</v>
      </c>
      <c r="C11" s="52"/>
      <c r="D11" s="18"/>
      <c r="E11" s="19"/>
      <c r="F11" s="19"/>
      <c r="G11" s="20"/>
      <c r="H11" s="21">
        <f>SUM(H$9:H10,'2018.8'!H$39:H$43)</f>
        <v>0</v>
      </c>
      <c r="I11" s="18"/>
      <c r="J11" s="19"/>
      <c r="K11" s="19"/>
      <c r="L11" s="20"/>
      <c r="M11" s="21">
        <f>SUM(M$9:M10,'2018.8'!M$39:M$43)</f>
        <v>0</v>
      </c>
      <c r="N11" s="18"/>
      <c r="O11" s="19"/>
      <c r="P11" s="19"/>
      <c r="Q11" s="20"/>
      <c r="R11" s="21">
        <f>SUM(R$9:R10,'2018.8'!R$39:R$43)</f>
        <v>0</v>
      </c>
      <c r="S11" s="18"/>
      <c r="T11" s="19"/>
      <c r="U11" s="19"/>
      <c r="V11" s="20"/>
      <c r="W11" s="21">
        <f>SUM(W$9:W10,'2018.8'!W$39:W$43)</f>
        <v>0</v>
      </c>
      <c r="X11" s="22"/>
    </row>
    <row r="12" spans="2:24">
      <c r="B12" s="5">
        <v>43346</v>
      </c>
      <c r="C12" s="23" t="s">
        <v>192</v>
      </c>
      <c r="D12" s="6"/>
      <c r="E12" s="7"/>
      <c r="F12" s="7"/>
      <c r="G12" s="8"/>
      <c r="H12" s="9" t="str">
        <f>IF(G12="","",G12-8)</f>
        <v/>
      </c>
      <c r="I12" s="10"/>
      <c r="J12" s="7"/>
      <c r="K12" s="7"/>
      <c r="L12" s="8"/>
      <c r="M12" s="9" t="str">
        <f>IF(L12="","",L12-8)</f>
        <v/>
      </c>
      <c r="N12" s="10"/>
      <c r="O12" s="7"/>
      <c r="P12" s="7"/>
      <c r="Q12" s="8"/>
      <c r="R12" s="9" t="str">
        <f>IF(Q12="","",Q12-8)</f>
        <v/>
      </c>
      <c r="S12" s="6"/>
      <c r="T12" s="7"/>
      <c r="U12" s="7"/>
      <c r="V12" s="8"/>
      <c r="W12" s="9" t="str">
        <f>IF(V12="","",V12-8)</f>
        <v/>
      </c>
      <c r="X12" s="11"/>
    </row>
    <row r="13" spans="2:24">
      <c r="B13" s="5">
        <v>43347</v>
      </c>
      <c r="C13" s="23" t="s">
        <v>193</v>
      </c>
      <c r="D13" s="6"/>
      <c r="E13" s="7"/>
      <c r="F13" s="7"/>
      <c r="G13" s="8"/>
      <c r="H13" s="9" t="str">
        <f>IF(G13="","",G13-8)</f>
        <v/>
      </c>
      <c r="I13" s="10"/>
      <c r="J13" s="7"/>
      <c r="K13" s="7"/>
      <c r="L13" s="8"/>
      <c r="M13" s="9" t="str">
        <f>IF(L13="","",L13-8)</f>
        <v/>
      </c>
      <c r="N13" s="10"/>
      <c r="O13" s="7"/>
      <c r="P13" s="7"/>
      <c r="Q13" s="8"/>
      <c r="R13" s="9" t="str">
        <f>IF(Q13="","",Q13-8)</f>
        <v/>
      </c>
      <c r="S13" s="6"/>
      <c r="T13" s="7"/>
      <c r="U13" s="7"/>
      <c r="V13" s="8"/>
      <c r="W13" s="9" t="str">
        <f>IF(V13="","",V13-8)</f>
        <v/>
      </c>
      <c r="X13" s="11"/>
    </row>
    <row r="14" spans="2:24">
      <c r="B14" s="5">
        <v>43348</v>
      </c>
      <c r="C14" s="23" t="s">
        <v>194</v>
      </c>
      <c r="D14" s="6"/>
      <c r="E14" s="7"/>
      <c r="F14" s="7"/>
      <c r="G14" s="8"/>
      <c r="H14" s="9" t="str">
        <f>IF(G14="","",G14-8)</f>
        <v/>
      </c>
      <c r="I14" s="10"/>
      <c r="J14" s="7"/>
      <c r="K14" s="7"/>
      <c r="L14" s="8"/>
      <c r="M14" s="9" t="str">
        <f>IF(L14="","",L14-8)</f>
        <v/>
      </c>
      <c r="N14" s="10"/>
      <c r="O14" s="7"/>
      <c r="P14" s="7"/>
      <c r="Q14" s="8"/>
      <c r="R14" s="9" t="str">
        <f>IF(Q14="","",Q14-8)</f>
        <v/>
      </c>
      <c r="S14" s="6"/>
      <c r="T14" s="7"/>
      <c r="U14" s="7"/>
      <c r="V14" s="8"/>
      <c r="W14" s="9" t="str">
        <f>IF(V14="","",V14-8)</f>
        <v/>
      </c>
      <c r="X14" s="11"/>
    </row>
    <row r="15" spans="2:24">
      <c r="B15" s="5">
        <v>43349</v>
      </c>
      <c r="C15" s="23" t="s">
        <v>7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5">
        <v>43350</v>
      </c>
      <c r="C16" s="23" t="s">
        <v>195</v>
      </c>
      <c r="D16" s="6"/>
      <c r="E16" s="7"/>
      <c r="F16" s="7"/>
      <c r="G16" s="8"/>
      <c r="H16" s="9" t="str">
        <f>IF(G16="","",G16-8)</f>
        <v/>
      </c>
      <c r="I16" s="10"/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/>
      <c r="T16" s="7"/>
      <c r="U16" s="7"/>
      <c r="V16" s="8"/>
      <c r="W16" s="9" t="str">
        <f>IF(V16="","",V16-8)</f>
        <v/>
      </c>
      <c r="X16" s="11"/>
    </row>
    <row r="17" spans="2:24">
      <c r="B17" s="12">
        <v>43351</v>
      </c>
      <c r="C17" s="24" t="s">
        <v>196</v>
      </c>
      <c r="D17" s="13"/>
      <c r="E17" s="14"/>
      <c r="F17" s="14"/>
      <c r="G17" s="15"/>
      <c r="H17" s="16"/>
      <c r="I17" s="13"/>
      <c r="J17" s="14"/>
      <c r="K17" s="14"/>
      <c r="L17" s="15"/>
      <c r="M17" s="16"/>
      <c r="N17" s="13"/>
      <c r="O17" s="14"/>
      <c r="P17" s="14"/>
      <c r="Q17" s="15"/>
      <c r="R17" s="16"/>
      <c r="S17" s="13"/>
      <c r="T17" s="14"/>
      <c r="U17" s="14"/>
      <c r="V17" s="15"/>
      <c r="W17" s="16"/>
      <c r="X17" s="17"/>
    </row>
    <row r="18" spans="2:24">
      <c r="B18" s="12">
        <v>43352</v>
      </c>
      <c r="C18" s="24" t="s">
        <v>191</v>
      </c>
      <c r="D18" s="13"/>
      <c r="E18" s="14"/>
      <c r="F18" s="14"/>
      <c r="G18" s="15"/>
      <c r="H18" s="16"/>
      <c r="I18" s="13"/>
      <c r="J18" s="14"/>
      <c r="K18" s="14"/>
      <c r="L18" s="15"/>
      <c r="M18" s="16"/>
      <c r="N18" s="13"/>
      <c r="O18" s="14"/>
      <c r="P18" s="14"/>
      <c r="Q18" s="15"/>
      <c r="R18" s="16"/>
      <c r="S18" s="13"/>
      <c r="T18" s="14"/>
      <c r="U18" s="14"/>
      <c r="V18" s="15"/>
      <c r="W18" s="16"/>
      <c r="X18" s="17"/>
    </row>
    <row r="19" spans="2:24">
      <c r="B19" s="51" t="s">
        <v>309</v>
      </c>
      <c r="C19" s="52"/>
      <c r="D19" s="18"/>
      <c r="E19" s="19"/>
      <c r="F19" s="19"/>
      <c r="G19" s="20"/>
      <c r="H19" s="21">
        <f>SUM(H12:H18)</f>
        <v>0</v>
      </c>
      <c r="I19" s="18"/>
      <c r="J19" s="19"/>
      <c r="K19" s="19"/>
      <c r="L19" s="20"/>
      <c r="M19" s="21">
        <f>SUM(M12:M18)</f>
        <v>0</v>
      </c>
      <c r="N19" s="18"/>
      <c r="O19" s="19"/>
      <c r="P19" s="19"/>
      <c r="Q19" s="20"/>
      <c r="R19" s="21">
        <f>SUM(R12:R18)</f>
        <v>0</v>
      </c>
      <c r="S19" s="18"/>
      <c r="T19" s="19"/>
      <c r="U19" s="19"/>
      <c r="V19" s="20"/>
      <c r="W19" s="21">
        <f>SUM(W12:W18)</f>
        <v>0</v>
      </c>
      <c r="X19" s="22"/>
    </row>
    <row r="20" spans="2:24">
      <c r="B20" s="5">
        <v>43353</v>
      </c>
      <c r="C20" s="23" t="s">
        <v>198</v>
      </c>
      <c r="D20" s="6"/>
      <c r="E20" s="7"/>
      <c r="F20" s="7"/>
      <c r="G20" s="8"/>
      <c r="H20" s="9" t="str">
        <f>IF(G20="","",G20-8)</f>
        <v/>
      </c>
      <c r="I20" s="10"/>
      <c r="J20" s="7"/>
      <c r="K20" s="7"/>
      <c r="L20" s="8"/>
      <c r="M20" s="9" t="str">
        <f>IF(L20="","",L20-8)</f>
        <v/>
      </c>
      <c r="N20" s="10"/>
      <c r="O20" s="7"/>
      <c r="P20" s="7"/>
      <c r="Q20" s="8"/>
      <c r="R20" s="9" t="str">
        <f>IF(Q20="","",Q20-8)</f>
        <v/>
      </c>
      <c r="S20" s="6"/>
      <c r="T20" s="7"/>
      <c r="U20" s="7"/>
      <c r="V20" s="8"/>
      <c r="W20" s="9" t="str">
        <f>IF(V20="","",V20-8)</f>
        <v/>
      </c>
      <c r="X20" s="11"/>
    </row>
    <row r="21" spans="2:24">
      <c r="B21" s="5">
        <v>43354</v>
      </c>
      <c r="C21" s="23" t="s">
        <v>199</v>
      </c>
      <c r="D21" s="6"/>
      <c r="E21" s="7"/>
      <c r="F21" s="7"/>
      <c r="G21" s="8"/>
      <c r="H21" s="9" t="str">
        <f>IF(G21="","",G21-8)</f>
        <v/>
      </c>
      <c r="I21" s="10"/>
      <c r="J21" s="7"/>
      <c r="K21" s="7"/>
      <c r="L21" s="8"/>
      <c r="M21" s="9" t="str">
        <f>IF(L21="","",L21-8)</f>
        <v/>
      </c>
      <c r="N21" s="10"/>
      <c r="O21" s="7"/>
      <c r="P21" s="7"/>
      <c r="Q21" s="8"/>
      <c r="R21" s="9" t="str">
        <f>IF(Q21="","",Q21-8)</f>
        <v/>
      </c>
      <c r="S21" s="6"/>
      <c r="T21" s="7"/>
      <c r="U21" s="7"/>
      <c r="V21" s="8"/>
      <c r="W21" s="9" t="str">
        <f>IF(V21="","",V21-8)</f>
        <v/>
      </c>
      <c r="X21" s="11"/>
    </row>
    <row r="22" spans="2:24">
      <c r="B22" s="5">
        <v>43355</v>
      </c>
      <c r="C22" s="23" t="s">
        <v>200</v>
      </c>
      <c r="D22" s="6"/>
      <c r="E22" s="7"/>
      <c r="F22" s="7"/>
      <c r="G22" s="8"/>
      <c r="H22" s="9" t="str">
        <f>IF(G22="","",G22-8)</f>
        <v/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43356</v>
      </c>
      <c r="C23" s="23" t="s">
        <v>201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5">
        <v>43357</v>
      </c>
      <c r="C24" s="23" t="s">
        <v>202</v>
      </c>
      <c r="D24" s="6"/>
      <c r="E24" s="7"/>
      <c r="F24" s="7"/>
      <c r="G24" s="8"/>
      <c r="H24" s="9" t="str">
        <f>IF(G24="","",G24-8)</f>
        <v/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12">
        <v>43358</v>
      </c>
      <c r="C25" s="24" t="s">
        <v>203</v>
      </c>
      <c r="D25" s="13"/>
      <c r="E25" s="14"/>
      <c r="F25" s="14"/>
      <c r="G25" s="15"/>
      <c r="H25" s="16"/>
      <c r="I25" s="13"/>
      <c r="J25" s="14"/>
      <c r="K25" s="14"/>
      <c r="L25" s="15"/>
      <c r="M25" s="16"/>
      <c r="N25" s="13"/>
      <c r="O25" s="14"/>
      <c r="P25" s="14"/>
      <c r="Q25" s="15"/>
      <c r="R25" s="16"/>
      <c r="S25" s="13"/>
      <c r="T25" s="14"/>
      <c r="U25" s="14"/>
      <c r="V25" s="15"/>
      <c r="W25" s="16"/>
      <c r="X25" s="17"/>
    </row>
    <row r="26" spans="2:24">
      <c r="B26" s="12">
        <v>43359</v>
      </c>
      <c r="C26" s="24" t="s">
        <v>197</v>
      </c>
      <c r="D26" s="13"/>
      <c r="E26" s="14"/>
      <c r="F26" s="14"/>
      <c r="G26" s="15"/>
      <c r="H26" s="16"/>
      <c r="I26" s="13"/>
      <c r="J26" s="14"/>
      <c r="K26" s="14"/>
      <c r="L26" s="15"/>
      <c r="M26" s="16"/>
      <c r="N26" s="13"/>
      <c r="O26" s="14"/>
      <c r="P26" s="14"/>
      <c r="Q26" s="15"/>
      <c r="R26" s="16"/>
      <c r="S26" s="13"/>
      <c r="T26" s="14"/>
      <c r="U26" s="14"/>
      <c r="V26" s="15"/>
      <c r="W26" s="16"/>
      <c r="X26" s="17"/>
    </row>
    <row r="27" spans="2:24">
      <c r="B27" s="51" t="s">
        <v>309</v>
      </c>
      <c r="C27" s="52"/>
      <c r="D27" s="18"/>
      <c r="E27" s="19"/>
      <c r="F27" s="19"/>
      <c r="G27" s="20"/>
      <c r="H27" s="21">
        <f>SUM(H20:H26)</f>
        <v>0</v>
      </c>
      <c r="I27" s="18"/>
      <c r="J27" s="19"/>
      <c r="K27" s="19"/>
      <c r="L27" s="20"/>
      <c r="M27" s="21">
        <f>SUM(M20:M26)</f>
        <v>0</v>
      </c>
      <c r="N27" s="18"/>
      <c r="O27" s="19"/>
      <c r="P27" s="19"/>
      <c r="Q27" s="20"/>
      <c r="R27" s="21">
        <f>SUM(R20:R26)</f>
        <v>0</v>
      </c>
      <c r="S27" s="18"/>
      <c r="T27" s="19"/>
      <c r="U27" s="19"/>
      <c r="V27" s="20"/>
      <c r="W27" s="21">
        <f>SUM(W20:W26)</f>
        <v>0</v>
      </c>
      <c r="X27" s="22"/>
    </row>
    <row r="28" spans="2:24">
      <c r="B28" s="5">
        <v>43360</v>
      </c>
      <c r="C28" s="23" t="s">
        <v>205</v>
      </c>
      <c r="D28" s="6"/>
      <c r="E28" s="7"/>
      <c r="F28" s="7"/>
      <c r="G28" s="8"/>
      <c r="H28" s="9" t="str">
        <f>IF(G28="","",G28-8)</f>
        <v/>
      </c>
      <c r="I28" s="10"/>
      <c r="J28" s="7"/>
      <c r="K28" s="7"/>
      <c r="L28" s="8"/>
      <c r="M28" s="9" t="str">
        <f>IF(L28="","",L28-8)</f>
        <v/>
      </c>
      <c r="N28" s="10"/>
      <c r="O28" s="7"/>
      <c r="P28" s="7"/>
      <c r="Q28" s="8"/>
      <c r="R28" s="9" t="str">
        <f>IF(Q28="","",Q28-8)</f>
        <v/>
      </c>
      <c r="S28" s="6"/>
      <c r="T28" s="7"/>
      <c r="U28" s="7"/>
      <c r="V28" s="8"/>
      <c r="W28" s="9" t="str">
        <f>IF(V28="","",V28-8)</f>
        <v/>
      </c>
      <c r="X28" s="11"/>
    </row>
    <row r="29" spans="2:24">
      <c r="B29" s="5">
        <v>43361</v>
      </c>
      <c r="C29" s="23" t="s">
        <v>206</v>
      </c>
      <c r="D29" s="6"/>
      <c r="E29" s="7"/>
      <c r="F29" s="7"/>
      <c r="G29" s="8"/>
      <c r="H29" s="9" t="str">
        <f>IF(G29="","",G29-8)</f>
        <v/>
      </c>
      <c r="I29" s="10"/>
      <c r="J29" s="7"/>
      <c r="K29" s="7"/>
      <c r="L29" s="8"/>
      <c r="M29" s="9" t="str">
        <f>IF(L29="","",L29-8)</f>
        <v/>
      </c>
      <c r="N29" s="10"/>
      <c r="O29" s="7"/>
      <c r="P29" s="7"/>
      <c r="Q29" s="8"/>
      <c r="R29" s="9" t="str">
        <f>IF(Q29="","",Q29-8)</f>
        <v/>
      </c>
      <c r="S29" s="6"/>
      <c r="T29" s="7"/>
      <c r="U29" s="7"/>
      <c r="V29" s="8"/>
      <c r="W29" s="9" t="str">
        <f>IF(V29="","",V29-8)</f>
        <v/>
      </c>
      <c r="X29" s="11"/>
    </row>
    <row r="30" spans="2:24">
      <c r="B30" s="5">
        <v>43362</v>
      </c>
      <c r="C30" s="23" t="s">
        <v>207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43363</v>
      </c>
      <c r="C31" s="23" t="s">
        <v>208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5">
        <v>43364</v>
      </c>
      <c r="C32" s="23" t="s">
        <v>209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12">
        <v>43365</v>
      </c>
      <c r="C33" s="24" t="s">
        <v>210</v>
      </c>
      <c r="D33" s="13"/>
      <c r="E33" s="14"/>
      <c r="F33" s="14"/>
      <c r="G33" s="15"/>
      <c r="H33" s="16"/>
      <c r="I33" s="13"/>
      <c r="J33" s="14"/>
      <c r="K33" s="14"/>
      <c r="L33" s="15"/>
      <c r="M33" s="16"/>
      <c r="N33" s="13"/>
      <c r="O33" s="14"/>
      <c r="P33" s="14"/>
      <c r="Q33" s="15"/>
      <c r="R33" s="16"/>
      <c r="S33" s="13"/>
      <c r="T33" s="14"/>
      <c r="U33" s="14"/>
      <c r="V33" s="15"/>
      <c r="W33" s="16"/>
      <c r="X33" s="17"/>
    </row>
    <row r="34" spans="2:24">
      <c r="B34" s="12">
        <v>43366</v>
      </c>
      <c r="C34" s="24" t="s">
        <v>204</v>
      </c>
      <c r="D34" s="13"/>
      <c r="E34" s="14"/>
      <c r="F34" s="14"/>
      <c r="G34" s="15"/>
      <c r="H34" s="16"/>
      <c r="I34" s="13"/>
      <c r="J34" s="14"/>
      <c r="K34" s="14"/>
      <c r="L34" s="15"/>
      <c r="M34" s="16"/>
      <c r="N34" s="13"/>
      <c r="O34" s="14"/>
      <c r="P34" s="14"/>
      <c r="Q34" s="15"/>
      <c r="R34" s="16"/>
      <c r="S34" s="13"/>
      <c r="T34" s="14"/>
      <c r="U34" s="14"/>
      <c r="V34" s="15"/>
      <c r="W34" s="16"/>
      <c r="X34" s="17"/>
    </row>
    <row r="35" spans="2:24">
      <c r="B35" s="51" t="s">
        <v>309</v>
      </c>
      <c r="C35" s="52"/>
      <c r="D35" s="18"/>
      <c r="E35" s="19"/>
      <c r="F35" s="19"/>
      <c r="G35" s="20"/>
      <c r="H35" s="21">
        <f>SUM(H28:H34)</f>
        <v>0</v>
      </c>
      <c r="I35" s="18"/>
      <c r="J35" s="19"/>
      <c r="K35" s="19"/>
      <c r="L35" s="20"/>
      <c r="M35" s="21">
        <f>SUM(M28:M34)</f>
        <v>0</v>
      </c>
      <c r="N35" s="18"/>
      <c r="O35" s="19"/>
      <c r="P35" s="19"/>
      <c r="Q35" s="20"/>
      <c r="R35" s="21">
        <f>SUM(R28:R34)</f>
        <v>0</v>
      </c>
      <c r="S35" s="18"/>
      <c r="T35" s="19"/>
      <c r="U35" s="19"/>
      <c r="V35" s="20"/>
      <c r="W35" s="21">
        <f>SUM(W28:W34)</f>
        <v>0</v>
      </c>
      <c r="X35" s="22"/>
    </row>
    <row r="36" spans="2:24">
      <c r="B36" s="5">
        <v>43367</v>
      </c>
      <c r="C36" s="23" t="s">
        <v>212</v>
      </c>
      <c r="D36" s="6"/>
      <c r="E36" s="7"/>
      <c r="F36" s="7"/>
      <c r="G36" s="8"/>
      <c r="H36" s="9" t="str">
        <f>IF(G36="","",G36-8)</f>
        <v/>
      </c>
      <c r="I36" s="10"/>
      <c r="J36" s="7"/>
      <c r="K36" s="7"/>
      <c r="L36" s="8"/>
      <c r="M36" s="9" t="str">
        <f>IF(L36="","",L36-8)</f>
        <v/>
      </c>
      <c r="N36" s="10"/>
      <c r="O36" s="7"/>
      <c r="P36" s="7"/>
      <c r="Q36" s="8"/>
      <c r="R36" s="9" t="str">
        <f>IF(Q36="","",Q36-8)</f>
        <v/>
      </c>
      <c r="S36" s="6"/>
      <c r="T36" s="7"/>
      <c r="U36" s="7"/>
      <c r="V36" s="8"/>
      <c r="W36" s="9" t="str">
        <f>IF(V36="","",V36-8)</f>
        <v/>
      </c>
      <c r="X36" s="11"/>
    </row>
    <row r="37" spans="2:24">
      <c r="B37" s="5">
        <v>43368</v>
      </c>
      <c r="C37" s="23" t="s">
        <v>213</v>
      </c>
      <c r="D37" s="6"/>
      <c r="E37" s="7"/>
      <c r="F37" s="7"/>
      <c r="G37" s="8"/>
      <c r="H37" s="9" t="str">
        <f>IF(G37="","",G37-8)</f>
        <v/>
      </c>
      <c r="I37" s="10"/>
      <c r="J37" s="7"/>
      <c r="K37" s="7"/>
      <c r="L37" s="8"/>
      <c r="M37" s="9" t="str">
        <f>IF(L37="","",L37-8)</f>
        <v/>
      </c>
      <c r="N37" s="10"/>
      <c r="O37" s="7"/>
      <c r="P37" s="7"/>
      <c r="Q37" s="8"/>
      <c r="R37" s="9" t="str">
        <f>IF(Q37="","",Q37-8)</f>
        <v/>
      </c>
      <c r="S37" s="6"/>
      <c r="T37" s="7"/>
      <c r="U37" s="7"/>
      <c r="V37" s="8"/>
      <c r="W37" s="9" t="str">
        <f>IF(V37="","",V37-8)</f>
        <v/>
      </c>
      <c r="X37" s="11"/>
    </row>
    <row r="38" spans="2:24">
      <c r="B38" s="5">
        <v>43369</v>
      </c>
      <c r="C38" s="23" t="s">
        <v>214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43370</v>
      </c>
      <c r="C39" s="23" t="s">
        <v>215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5">
        <v>43371</v>
      </c>
      <c r="C40" s="23" t="s">
        <v>216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12">
        <v>43372</v>
      </c>
      <c r="C41" s="24" t="s">
        <v>217</v>
      </c>
      <c r="D41" s="13"/>
      <c r="E41" s="14"/>
      <c r="F41" s="14"/>
      <c r="G41" s="15"/>
      <c r="H41" s="16"/>
      <c r="I41" s="13"/>
      <c r="J41" s="14"/>
      <c r="K41" s="14"/>
      <c r="L41" s="15"/>
      <c r="M41" s="16"/>
      <c r="N41" s="13"/>
      <c r="O41" s="14"/>
      <c r="P41" s="14"/>
      <c r="Q41" s="15"/>
      <c r="R41" s="16"/>
      <c r="S41" s="13"/>
      <c r="T41" s="14"/>
      <c r="U41" s="14"/>
      <c r="V41" s="15"/>
      <c r="W41" s="16"/>
      <c r="X41" s="17"/>
    </row>
    <row r="42" spans="2:24">
      <c r="B42" s="12">
        <v>43373</v>
      </c>
      <c r="C42" s="24" t="s">
        <v>211</v>
      </c>
      <c r="D42" s="13"/>
      <c r="E42" s="14"/>
      <c r="F42" s="14"/>
      <c r="G42" s="15"/>
      <c r="H42" s="16"/>
      <c r="I42" s="13"/>
      <c r="J42" s="14"/>
      <c r="K42" s="14"/>
      <c r="L42" s="15"/>
      <c r="M42" s="16"/>
      <c r="N42" s="13"/>
      <c r="O42" s="14"/>
      <c r="P42" s="14"/>
      <c r="Q42" s="15"/>
      <c r="R42" s="16"/>
      <c r="S42" s="13"/>
      <c r="T42" s="14"/>
      <c r="U42" s="14"/>
      <c r="V42" s="15"/>
      <c r="W42" s="16"/>
      <c r="X42" s="17"/>
    </row>
    <row r="43" spans="2:24">
      <c r="B43" s="51" t="s">
        <v>309</v>
      </c>
      <c r="C43" s="52"/>
      <c r="D43" s="18"/>
      <c r="E43" s="19"/>
      <c r="F43" s="19"/>
      <c r="G43" s="20"/>
      <c r="H43" s="21">
        <f>SUM(H36:H42)</f>
        <v>0</v>
      </c>
      <c r="I43" s="18"/>
      <c r="J43" s="19"/>
      <c r="K43" s="19"/>
      <c r="L43" s="20"/>
      <c r="M43" s="21">
        <f>SUM(M36:M42)</f>
        <v>0</v>
      </c>
      <c r="N43" s="18"/>
      <c r="O43" s="19"/>
      <c r="P43" s="19"/>
      <c r="Q43" s="20"/>
      <c r="R43" s="21">
        <f>SUM(R36:R42)</f>
        <v>0</v>
      </c>
      <c r="S43" s="18"/>
      <c r="T43" s="19"/>
      <c r="U43" s="19"/>
      <c r="V43" s="20"/>
      <c r="W43" s="21">
        <f>SUM(W36:W42)</f>
        <v>0</v>
      </c>
      <c r="X43" s="22"/>
    </row>
    <row r="44" spans="2:24">
      <c r="B44" s="50" t="s">
        <v>401</v>
      </c>
      <c r="C44" s="50"/>
      <c r="D44" s="1"/>
      <c r="E44" s="1"/>
      <c r="F44" s="1"/>
      <c r="G44" s="1"/>
      <c r="H44" s="25">
        <f>SUM(SUMIF($B$9:$B$50,"Total hours",H$9:H$50),'2018.8'!H$44:H$44)</f>
        <v>166</v>
      </c>
      <c r="I44" s="1"/>
      <c r="J44" s="1"/>
      <c r="K44" s="1"/>
      <c r="L44" s="1"/>
      <c r="M44" s="25">
        <f>SUM(SUMIF($B$9:$B$50,"Total hours",M$9:M$50),'2018.8'!M$44:M$44)</f>
        <v>95</v>
      </c>
      <c r="N44" s="1"/>
      <c r="O44" s="1"/>
      <c r="P44" s="1"/>
      <c r="Q44" s="1"/>
      <c r="R44" s="25">
        <f>SUM(SUMIF($B$9:$B$50,"Total hours",R$9:R$50),'2018.8'!R$44:R$44)</f>
        <v>61.5</v>
      </c>
      <c r="S44" s="1"/>
      <c r="T44" s="1"/>
      <c r="U44" s="1"/>
      <c r="V44" s="1"/>
      <c r="W44" s="25">
        <f>SUM(SUMIF($B$9:$B$50,"Total hours",W$9:W$50),'2018.8'!W$44:W$44)</f>
        <v>14.5</v>
      </c>
      <c r="X44" s="26"/>
    </row>
    <row r="46" spans="2:24">
      <c r="B46" s="27" t="s">
        <v>379</v>
      </c>
      <c r="C46" s="28"/>
      <c r="D46" s="28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0"/>
      <c r="R46" s="30"/>
      <c r="S46" s="31"/>
    </row>
    <row r="47" spans="2:24">
      <c r="B47" s="32" t="s">
        <v>380</v>
      </c>
      <c r="C47" s="33" t="s">
        <v>381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8"/>
      <c r="C48" s="34" t="s">
        <v>382</v>
      </c>
      <c r="D48" s="39"/>
      <c r="E48" s="35" t="s">
        <v>383</v>
      </c>
      <c r="F48" s="35"/>
      <c r="G48" s="34"/>
      <c r="H48" s="34"/>
      <c r="I48" s="34" t="s">
        <v>384</v>
      </c>
      <c r="J48" s="39"/>
      <c r="K48" s="35" t="s">
        <v>385</v>
      </c>
      <c r="L48" s="34"/>
      <c r="M48" s="34"/>
      <c r="N48" s="34"/>
      <c r="O48" s="34" t="s">
        <v>386</v>
      </c>
      <c r="P48" s="34"/>
      <c r="Q48" s="36" t="s">
        <v>387</v>
      </c>
      <c r="R48" s="36"/>
      <c r="S48" s="37"/>
    </row>
    <row r="49" spans="2:19">
      <c r="B49" s="38"/>
      <c r="C49" s="44" t="s">
        <v>388</v>
      </c>
      <c r="D49" s="45"/>
      <c r="E49" s="45"/>
      <c r="F49" s="45"/>
      <c r="G49" s="45"/>
      <c r="H49" s="45"/>
      <c r="I49" s="45"/>
      <c r="J49" s="45"/>
      <c r="K49" s="34"/>
      <c r="L49" s="34"/>
      <c r="M49" s="34"/>
      <c r="N49" s="46"/>
      <c r="O49" s="34"/>
      <c r="P49" s="34"/>
      <c r="Q49" s="36"/>
      <c r="R49" s="36"/>
      <c r="S49" s="37"/>
    </row>
    <row r="50" spans="2:19">
      <c r="B50" s="32" t="s">
        <v>389</v>
      </c>
      <c r="C50" s="33" t="s">
        <v>390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7" t="s">
        <v>391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8" t="s">
        <v>392</v>
      </c>
      <c r="D52" s="34"/>
      <c r="E52" s="35"/>
      <c r="F52" s="35" t="s">
        <v>393</v>
      </c>
      <c r="G52" s="34"/>
      <c r="H52" s="34"/>
      <c r="I52" s="34" t="s">
        <v>394</v>
      </c>
      <c r="J52" s="34"/>
      <c r="K52" s="34"/>
      <c r="L52" s="34" t="s">
        <v>395</v>
      </c>
      <c r="M52" s="34"/>
      <c r="N52" s="34"/>
      <c r="O52" s="34"/>
      <c r="P52" s="34"/>
      <c r="Q52" s="36"/>
      <c r="R52" s="36"/>
      <c r="S52" s="37"/>
    </row>
    <row r="53" spans="2:19">
      <c r="B53" s="38"/>
      <c r="C53" s="34"/>
      <c r="D53" s="34"/>
      <c r="E53" s="35"/>
      <c r="F53" s="35" t="s">
        <v>396</v>
      </c>
      <c r="G53" s="34"/>
      <c r="H53" s="34"/>
      <c r="I53" s="34" t="s">
        <v>397</v>
      </c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32" t="s">
        <v>398</v>
      </c>
      <c r="C54" s="33" t="s">
        <v>399</v>
      </c>
      <c r="D54" s="34"/>
      <c r="E54" s="35"/>
      <c r="F54" s="35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40"/>
      <c r="C55" s="41" t="s">
        <v>400</v>
      </c>
      <c r="D55" s="41"/>
      <c r="E55" s="42"/>
      <c r="F55" s="42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3"/>
      <c r="R55" s="43"/>
      <c r="S55" s="49"/>
    </row>
  </sheetData>
  <mergeCells count="14">
    <mergeCell ref="S7:W7"/>
    <mergeCell ref="X7:X8"/>
    <mergeCell ref="B4:X4"/>
    <mergeCell ref="B7:B8"/>
    <mergeCell ref="C7:C8"/>
    <mergeCell ref="D7:H7"/>
    <mergeCell ref="I7:M7"/>
    <mergeCell ref="N7:R7"/>
    <mergeCell ref="B11:C11"/>
    <mergeCell ref="B19:C19"/>
    <mergeCell ref="B27:C27"/>
    <mergeCell ref="B35:C35"/>
    <mergeCell ref="B43:C43"/>
    <mergeCell ref="B44:C4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X55"/>
  <sheetViews>
    <sheetView topLeftCell="A44" zoomScale="85" zoomScaleNormal="85" workbookViewId="0">
      <selection activeCell="B46" sqref="B46:S55"/>
    </sheetView>
  </sheetViews>
  <sheetFormatPr defaultRowHeight="15"/>
  <cols>
    <col min="2" max="2" width="10.710937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43374</v>
      </c>
      <c r="C9" s="23" t="s">
        <v>218</v>
      </c>
      <c r="D9" s="6"/>
      <c r="E9" s="7"/>
      <c r="F9" s="7"/>
      <c r="G9" s="8"/>
      <c r="H9" s="9" t="str">
        <f>IF(G9="","",G9-8)</f>
        <v/>
      </c>
      <c r="I9" s="10"/>
      <c r="J9" s="7"/>
      <c r="K9" s="7"/>
      <c r="L9" s="8"/>
      <c r="M9" s="9" t="str">
        <f>IF(L9="","",L9-8)</f>
        <v/>
      </c>
      <c r="N9" s="10"/>
      <c r="O9" s="7"/>
      <c r="P9" s="7"/>
      <c r="Q9" s="8"/>
      <c r="R9" s="9" t="str">
        <f>IF(Q9="","",Q9-8)</f>
        <v/>
      </c>
      <c r="S9" s="6"/>
      <c r="T9" s="7"/>
      <c r="U9" s="7"/>
      <c r="V9" s="8"/>
      <c r="W9" s="9" t="str">
        <f>IF(V9="","",V9-8)</f>
        <v/>
      </c>
      <c r="X9" s="11"/>
    </row>
    <row r="10" spans="2:24">
      <c r="B10" s="5">
        <v>43375</v>
      </c>
      <c r="C10" s="23" t="s">
        <v>219</v>
      </c>
      <c r="D10" s="6"/>
      <c r="E10" s="7"/>
      <c r="F10" s="7"/>
      <c r="G10" s="8"/>
      <c r="H10" s="9" t="str">
        <f>IF(G10="","",G10-8)</f>
        <v/>
      </c>
      <c r="I10" s="10"/>
      <c r="J10" s="7"/>
      <c r="K10" s="7"/>
      <c r="L10" s="8"/>
      <c r="M10" s="9" t="str">
        <f>IF(L10="","",L10-8)</f>
        <v/>
      </c>
      <c r="N10" s="10"/>
      <c r="O10" s="7"/>
      <c r="P10" s="7"/>
      <c r="Q10" s="8"/>
      <c r="R10" s="9" t="str">
        <f>IF(Q10="","",Q10-8)</f>
        <v/>
      </c>
      <c r="S10" s="6"/>
      <c r="T10" s="7"/>
      <c r="U10" s="7"/>
      <c r="V10" s="8"/>
      <c r="W10" s="9" t="str">
        <f>IF(V10="","",V10-8)</f>
        <v/>
      </c>
      <c r="X10" s="11"/>
    </row>
    <row r="11" spans="2:24">
      <c r="B11" s="5">
        <v>43376</v>
      </c>
      <c r="C11" s="23" t="s">
        <v>220</v>
      </c>
      <c r="D11" s="6"/>
      <c r="E11" s="7"/>
      <c r="F11" s="7"/>
      <c r="G11" s="8"/>
      <c r="H11" s="9" t="str">
        <f>IF(G11="","",G11-8)</f>
        <v/>
      </c>
      <c r="I11" s="10"/>
      <c r="J11" s="7"/>
      <c r="K11" s="7"/>
      <c r="L11" s="8"/>
      <c r="M11" s="9" t="str">
        <f>IF(L11="","",L11-8)</f>
        <v/>
      </c>
      <c r="N11" s="10"/>
      <c r="O11" s="7"/>
      <c r="P11" s="7"/>
      <c r="Q11" s="8"/>
      <c r="R11" s="9" t="str">
        <f>IF(Q11="","",Q11-8)</f>
        <v/>
      </c>
      <c r="S11" s="6"/>
      <c r="T11" s="7"/>
      <c r="U11" s="7"/>
      <c r="V11" s="8"/>
      <c r="W11" s="9" t="str">
        <f>IF(V11="","",V11-8)</f>
        <v/>
      </c>
      <c r="X11" s="11"/>
    </row>
    <row r="12" spans="2:24">
      <c r="B12" s="5">
        <v>43377</v>
      </c>
      <c r="C12" s="23" t="s">
        <v>221</v>
      </c>
      <c r="D12" s="6"/>
      <c r="E12" s="7"/>
      <c r="F12" s="7"/>
      <c r="G12" s="8"/>
      <c r="H12" s="9" t="str">
        <f>IF(G12="","",G12-8)</f>
        <v/>
      </c>
      <c r="I12" s="10"/>
      <c r="J12" s="7"/>
      <c r="K12" s="7"/>
      <c r="L12" s="8"/>
      <c r="M12" s="9" t="str">
        <f>IF(L12="","",L12-8)</f>
        <v/>
      </c>
      <c r="N12" s="10"/>
      <c r="O12" s="7"/>
      <c r="P12" s="7"/>
      <c r="Q12" s="8"/>
      <c r="R12" s="9" t="str">
        <f>IF(Q12="","",Q12-8)</f>
        <v/>
      </c>
      <c r="S12" s="6"/>
      <c r="T12" s="7"/>
      <c r="U12" s="7"/>
      <c r="V12" s="8"/>
      <c r="W12" s="9" t="str">
        <f>IF(V12="","",V12-8)</f>
        <v/>
      </c>
      <c r="X12" s="11"/>
    </row>
    <row r="13" spans="2:24">
      <c r="B13" s="5">
        <v>43378</v>
      </c>
      <c r="C13" s="23" t="s">
        <v>222</v>
      </c>
      <c r="D13" s="6"/>
      <c r="E13" s="7"/>
      <c r="F13" s="7"/>
      <c r="G13" s="8"/>
      <c r="H13" s="9" t="str">
        <f>IF(G13="","",G13-8)</f>
        <v/>
      </c>
      <c r="I13" s="10"/>
      <c r="J13" s="7"/>
      <c r="K13" s="7"/>
      <c r="L13" s="8"/>
      <c r="M13" s="9" t="str">
        <f>IF(L13="","",L13-8)</f>
        <v/>
      </c>
      <c r="N13" s="10"/>
      <c r="O13" s="7"/>
      <c r="P13" s="7"/>
      <c r="Q13" s="8"/>
      <c r="R13" s="9" t="str">
        <f>IF(Q13="","",Q13-8)</f>
        <v/>
      </c>
      <c r="S13" s="6"/>
      <c r="T13" s="7"/>
      <c r="U13" s="7"/>
      <c r="V13" s="8"/>
      <c r="W13" s="9" t="str">
        <f>IF(V13="","",V13-8)</f>
        <v/>
      </c>
      <c r="X13" s="11"/>
    </row>
    <row r="14" spans="2:24">
      <c r="B14" s="12">
        <v>43379</v>
      </c>
      <c r="C14" s="24" t="s">
        <v>8</v>
      </c>
      <c r="D14" s="13"/>
      <c r="E14" s="14"/>
      <c r="F14" s="14"/>
      <c r="G14" s="15"/>
      <c r="H14" s="16"/>
      <c r="I14" s="13"/>
      <c r="J14" s="14"/>
      <c r="K14" s="14"/>
      <c r="L14" s="15"/>
      <c r="M14" s="16"/>
      <c r="N14" s="13"/>
      <c r="O14" s="14"/>
      <c r="P14" s="14"/>
      <c r="Q14" s="15"/>
      <c r="R14" s="16"/>
      <c r="S14" s="13"/>
      <c r="T14" s="14"/>
      <c r="U14" s="14"/>
      <c r="V14" s="15"/>
      <c r="W14" s="16"/>
      <c r="X14" s="17"/>
    </row>
    <row r="15" spans="2:24">
      <c r="B15" s="12">
        <v>43380</v>
      </c>
      <c r="C15" s="24" t="s">
        <v>18</v>
      </c>
      <c r="D15" s="13"/>
      <c r="E15" s="14"/>
      <c r="F15" s="14"/>
      <c r="G15" s="15"/>
      <c r="H15" s="16"/>
      <c r="I15" s="13"/>
      <c r="J15" s="14"/>
      <c r="K15" s="14"/>
      <c r="L15" s="15"/>
      <c r="M15" s="16"/>
      <c r="N15" s="13"/>
      <c r="O15" s="14"/>
      <c r="P15" s="14"/>
      <c r="Q15" s="15"/>
      <c r="R15" s="16"/>
      <c r="S15" s="13"/>
      <c r="T15" s="14"/>
      <c r="U15" s="14"/>
      <c r="V15" s="15"/>
      <c r="W15" s="16"/>
      <c r="X15" s="17"/>
    </row>
    <row r="16" spans="2:24">
      <c r="B16" s="51" t="s">
        <v>309</v>
      </c>
      <c r="C16" s="52"/>
      <c r="D16" s="18"/>
      <c r="E16" s="19"/>
      <c r="F16" s="19"/>
      <c r="G16" s="20"/>
      <c r="H16" s="21">
        <f>SUM(H9:H15)</f>
        <v>0</v>
      </c>
      <c r="I16" s="18"/>
      <c r="J16" s="19"/>
      <c r="K16" s="19"/>
      <c r="L16" s="20"/>
      <c r="M16" s="21">
        <f>SUM(M9:M15)</f>
        <v>0</v>
      </c>
      <c r="N16" s="18"/>
      <c r="O16" s="19"/>
      <c r="P16" s="19"/>
      <c r="Q16" s="20"/>
      <c r="R16" s="21">
        <f>SUM(R9:R15)</f>
        <v>0</v>
      </c>
      <c r="S16" s="18"/>
      <c r="T16" s="19"/>
      <c r="U16" s="19"/>
      <c r="V16" s="20"/>
      <c r="W16" s="21">
        <f>SUM(W9:W15)</f>
        <v>0</v>
      </c>
      <c r="X16" s="22"/>
    </row>
    <row r="17" spans="2:24">
      <c r="B17" s="5">
        <v>43381</v>
      </c>
      <c r="C17" s="23" t="s">
        <v>224</v>
      </c>
      <c r="D17" s="6"/>
      <c r="E17" s="7"/>
      <c r="F17" s="7"/>
      <c r="G17" s="8"/>
      <c r="H17" s="9" t="str">
        <f>IF(G17="","",G17-8)</f>
        <v/>
      </c>
      <c r="I17" s="10"/>
      <c r="J17" s="7"/>
      <c r="K17" s="7"/>
      <c r="L17" s="8"/>
      <c r="M17" s="9" t="str">
        <f>IF(L17="","",L17-8)</f>
        <v/>
      </c>
      <c r="N17" s="10"/>
      <c r="O17" s="7"/>
      <c r="P17" s="7"/>
      <c r="Q17" s="8"/>
      <c r="R17" s="9" t="str">
        <f>IF(Q17="","",Q17-8)</f>
        <v/>
      </c>
      <c r="S17" s="6"/>
      <c r="T17" s="7"/>
      <c r="U17" s="7"/>
      <c r="V17" s="8"/>
      <c r="W17" s="9" t="str">
        <f>IF(V17="","",V17-8)</f>
        <v/>
      </c>
      <c r="X17" s="11"/>
    </row>
    <row r="18" spans="2:24">
      <c r="B18" s="5">
        <v>43382</v>
      </c>
      <c r="C18" s="23" t="s">
        <v>225</v>
      </c>
      <c r="D18" s="6"/>
      <c r="E18" s="7"/>
      <c r="F18" s="7"/>
      <c r="G18" s="8"/>
      <c r="H18" s="9" t="str">
        <f>IF(G18="","",G18-8)</f>
        <v/>
      </c>
      <c r="I18" s="10"/>
      <c r="J18" s="7"/>
      <c r="K18" s="7"/>
      <c r="L18" s="8"/>
      <c r="M18" s="9" t="str">
        <f>IF(L18="","",L18-8)</f>
        <v/>
      </c>
      <c r="N18" s="10"/>
      <c r="O18" s="7"/>
      <c r="P18" s="7"/>
      <c r="Q18" s="8"/>
      <c r="R18" s="9" t="str">
        <f>IF(Q18="","",Q18-8)</f>
        <v/>
      </c>
      <c r="S18" s="6"/>
      <c r="T18" s="7"/>
      <c r="U18" s="7"/>
      <c r="V18" s="8"/>
      <c r="W18" s="9" t="str">
        <f>IF(V18="","",V18-8)</f>
        <v/>
      </c>
      <c r="X18" s="11"/>
    </row>
    <row r="19" spans="2:24">
      <c r="B19" s="5">
        <v>43383</v>
      </c>
      <c r="C19" s="23" t="s">
        <v>226</v>
      </c>
      <c r="D19" s="6"/>
      <c r="E19" s="7"/>
      <c r="F19" s="7"/>
      <c r="G19" s="8"/>
      <c r="H19" s="9" t="str">
        <f>IF(G19="","",G19-8)</f>
        <v/>
      </c>
      <c r="I19" s="10"/>
      <c r="J19" s="7"/>
      <c r="K19" s="7"/>
      <c r="L19" s="8"/>
      <c r="M19" s="9" t="str">
        <f>IF(L19="","",L19-8)</f>
        <v/>
      </c>
      <c r="N19" s="10"/>
      <c r="O19" s="7"/>
      <c r="P19" s="7"/>
      <c r="Q19" s="8"/>
      <c r="R19" s="9" t="str">
        <f>IF(Q19="","",Q19-8)</f>
        <v/>
      </c>
      <c r="S19" s="6"/>
      <c r="T19" s="7"/>
      <c r="U19" s="7"/>
      <c r="V19" s="8"/>
      <c r="W19" s="9" t="str">
        <f>IF(V19="","",V19-8)</f>
        <v/>
      </c>
      <c r="X19" s="11"/>
    </row>
    <row r="20" spans="2:24">
      <c r="B20" s="5">
        <v>43384</v>
      </c>
      <c r="C20" s="23" t="s">
        <v>227</v>
      </c>
      <c r="D20" s="6"/>
      <c r="E20" s="7"/>
      <c r="F20" s="7"/>
      <c r="G20" s="8"/>
      <c r="H20" s="9" t="str">
        <f>IF(G20="","",G20-8)</f>
        <v/>
      </c>
      <c r="I20" s="10"/>
      <c r="J20" s="7"/>
      <c r="K20" s="7"/>
      <c r="L20" s="8"/>
      <c r="M20" s="9" t="str">
        <f>IF(L20="","",L20-8)</f>
        <v/>
      </c>
      <c r="N20" s="10"/>
      <c r="O20" s="7"/>
      <c r="P20" s="7"/>
      <c r="Q20" s="8"/>
      <c r="R20" s="9" t="str">
        <f>IF(Q20="","",Q20-8)</f>
        <v/>
      </c>
      <c r="S20" s="6"/>
      <c r="T20" s="7"/>
      <c r="U20" s="7"/>
      <c r="V20" s="8"/>
      <c r="W20" s="9" t="str">
        <f>IF(V20="","",V20-8)</f>
        <v/>
      </c>
      <c r="X20" s="11"/>
    </row>
    <row r="21" spans="2:24">
      <c r="B21" s="5">
        <v>43385</v>
      </c>
      <c r="C21" s="23" t="s">
        <v>228</v>
      </c>
      <c r="D21" s="6"/>
      <c r="E21" s="7"/>
      <c r="F21" s="7"/>
      <c r="G21" s="8"/>
      <c r="H21" s="9" t="str">
        <f>IF(G21="","",G21-8)</f>
        <v/>
      </c>
      <c r="I21" s="10"/>
      <c r="J21" s="7"/>
      <c r="K21" s="7"/>
      <c r="L21" s="8"/>
      <c r="M21" s="9" t="str">
        <f>IF(L21="","",L21-8)</f>
        <v/>
      </c>
      <c r="N21" s="10"/>
      <c r="O21" s="7"/>
      <c r="P21" s="7"/>
      <c r="Q21" s="8"/>
      <c r="R21" s="9" t="str">
        <f>IF(Q21="","",Q21-8)</f>
        <v/>
      </c>
      <c r="S21" s="6"/>
      <c r="T21" s="7"/>
      <c r="U21" s="7"/>
      <c r="V21" s="8"/>
      <c r="W21" s="9" t="str">
        <f>IF(V21="","",V21-8)</f>
        <v/>
      </c>
      <c r="X21" s="11"/>
    </row>
    <row r="22" spans="2:24">
      <c r="B22" s="12">
        <v>43386</v>
      </c>
      <c r="C22" s="24" t="s">
        <v>229</v>
      </c>
      <c r="D22" s="13"/>
      <c r="E22" s="14"/>
      <c r="F22" s="14"/>
      <c r="G22" s="15"/>
      <c r="H22" s="16"/>
      <c r="I22" s="13"/>
      <c r="J22" s="14"/>
      <c r="K22" s="14"/>
      <c r="L22" s="15"/>
      <c r="M22" s="16"/>
      <c r="N22" s="13"/>
      <c r="O22" s="14"/>
      <c r="P22" s="14"/>
      <c r="Q22" s="15"/>
      <c r="R22" s="16"/>
      <c r="S22" s="13"/>
      <c r="T22" s="14"/>
      <c r="U22" s="14"/>
      <c r="V22" s="15"/>
      <c r="W22" s="16"/>
      <c r="X22" s="17"/>
    </row>
    <row r="23" spans="2:24">
      <c r="B23" s="12">
        <v>43387</v>
      </c>
      <c r="C23" s="24" t="s">
        <v>223</v>
      </c>
      <c r="D23" s="13"/>
      <c r="E23" s="14"/>
      <c r="F23" s="14"/>
      <c r="G23" s="15"/>
      <c r="H23" s="16"/>
      <c r="I23" s="13"/>
      <c r="J23" s="14"/>
      <c r="K23" s="14"/>
      <c r="L23" s="15"/>
      <c r="M23" s="16"/>
      <c r="N23" s="13"/>
      <c r="O23" s="14"/>
      <c r="P23" s="14"/>
      <c r="Q23" s="15"/>
      <c r="R23" s="16"/>
      <c r="S23" s="13"/>
      <c r="T23" s="14"/>
      <c r="U23" s="14"/>
      <c r="V23" s="15"/>
      <c r="W23" s="16"/>
      <c r="X23" s="17"/>
    </row>
    <row r="24" spans="2:24">
      <c r="B24" s="51" t="s">
        <v>309</v>
      </c>
      <c r="C24" s="52"/>
      <c r="D24" s="18"/>
      <c r="E24" s="19"/>
      <c r="F24" s="19"/>
      <c r="G24" s="20"/>
      <c r="H24" s="21">
        <f>SUM(H17:H23)</f>
        <v>0</v>
      </c>
      <c r="I24" s="18"/>
      <c r="J24" s="19"/>
      <c r="K24" s="19"/>
      <c r="L24" s="20"/>
      <c r="M24" s="21">
        <f>SUM(M17:M23)</f>
        <v>0</v>
      </c>
      <c r="N24" s="18"/>
      <c r="O24" s="19"/>
      <c r="P24" s="19"/>
      <c r="Q24" s="20"/>
      <c r="R24" s="21">
        <f>SUM(R17:R23)</f>
        <v>0</v>
      </c>
      <c r="S24" s="18"/>
      <c r="T24" s="19"/>
      <c r="U24" s="19"/>
      <c r="V24" s="20"/>
      <c r="W24" s="21">
        <f>SUM(W17:W23)</f>
        <v>0</v>
      </c>
      <c r="X24" s="22"/>
    </row>
    <row r="25" spans="2:24">
      <c r="B25" s="5">
        <v>43388</v>
      </c>
      <c r="C25" s="23" t="s">
        <v>231</v>
      </c>
      <c r="D25" s="6"/>
      <c r="E25" s="7"/>
      <c r="F25" s="7"/>
      <c r="G25" s="8"/>
      <c r="H25" s="9" t="str">
        <f>IF(G25="","",G25-8)</f>
        <v/>
      </c>
      <c r="I25" s="10"/>
      <c r="J25" s="7"/>
      <c r="K25" s="7"/>
      <c r="L25" s="8"/>
      <c r="M25" s="9" t="str">
        <f>IF(L25="","",L25-8)</f>
        <v/>
      </c>
      <c r="N25" s="10"/>
      <c r="O25" s="7"/>
      <c r="P25" s="7"/>
      <c r="Q25" s="8"/>
      <c r="R25" s="9" t="str">
        <f>IF(Q25="","",Q25-8)</f>
        <v/>
      </c>
      <c r="S25" s="6"/>
      <c r="T25" s="7"/>
      <c r="U25" s="7"/>
      <c r="V25" s="8"/>
      <c r="W25" s="9" t="str">
        <f>IF(V25="","",V25-8)</f>
        <v/>
      </c>
      <c r="X25" s="11"/>
    </row>
    <row r="26" spans="2:24">
      <c r="B26" s="5">
        <v>43389</v>
      </c>
      <c r="C26" s="23" t="s">
        <v>232</v>
      </c>
      <c r="D26" s="6"/>
      <c r="E26" s="7"/>
      <c r="F26" s="7"/>
      <c r="G26" s="8"/>
      <c r="H26" s="9" t="str">
        <f>IF(G26="","",G26-8)</f>
        <v/>
      </c>
      <c r="I26" s="10"/>
      <c r="J26" s="7"/>
      <c r="K26" s="7"/>
      <c r="L26" s="8"/>
      <c r="M26" s="9" t="str">
        <f>IF(L26="","",L26-8)</f>
        <v/>
      </c>
      <c r="N26" s="10"/>
      <c r="O26" s="7"/>
      <c r="P26" s="7"/>
      <c r="Q26" s="8"/>
      <c r="R26" s="9" t="str">
        <f>IF(Q26="","",Q26-8)</f>
        <v/>
      </c>
      <c r="S26" s="6"/>
      <c r="T26" s="7"/>
      <c r="U26" s="7"/>
      <c r="V26" s="8"/>
      <c r="W26" s="9" t="str">
        <f>IF(V26="","",V26-8)</f>
        <v/>
      </c>
      <c r="X26" s="11"/>
    </row>
    <row r="27" spans="2:24">
      <c r="B27" s="5">
        <v>43390</v>
      </c>
      <c r="C27" s="23" t="s">
        <v>233</v>
      </c>
      <c r="D27" s="6"/>
      <c r="E27" s="7"/>
      <c r="F27" s="7"/>
      <c r="G27" s="8"/>
      <c r="H27" s="9" t="str">
        <f>IF(G27="","",G27-8)</f>
        <v/>
      </c>
      <c r="I27" s="10"/>
      <c r="J27" s="7"/>
      <c r="K27" s="7"/>
      <c r="L27" s="8"/>
      <c r="M27" s="9" t="str">
        <f>IF(L27="","",L27-8)</f>
        <v/>
      </c>
      <c r="N27" s="10"/>
      <c r="O27" s="7"/>
      <c r="P27" s="7"/>
      <c r="Q27" s="8"/>
      <c r="R27" s="9" t="str">
        <f>IF(Q27="","",Q27-8)</f>
        <v/>
      </c>
      <c r="S27" s="6"/>
      <c r="T27" s="7"/>
      <c r="U27" s="7"/>
      <c r="V27" s="8"/>
      <c r="W27" s="9" t="str">
        <f>IF(V27="","",V27-8)</f>
        <v/>
      </c>
      <c r="X27" s="11"/>
    </row>
    <row r="28" spans="2:24">
      <c r="B28" s="5">
        <v>43391</v>
      </c>
      <c r="C28" s="23" t="s">
        <v>234</v>
      </c>
      <c r="D28" s="6"/>
      <c r="E28" s="7"/>
      <c r="F28" s="7"/>
      <c r="G28" s="8"/>
      <c r="H28" s="9" t="str">
        <f>IF(G28="","",G28-8)</f>
        <v/>
      </c>
      <c r="I28" s="10"/>
      <c r="J28" s="7"/>
      <c r="K28" s="7"/>
      <c r="L28" s="8"/>
      <c r="M28" s="9" t="str">
        <f>IF(L28="","",L28-8)</f>
        <v/>
      </c>
      <c r="N28" s="10"/>
      <c r="O28" s="7"/>
      <c r="P28" s="7"/>
      <c r="Q28" s="8"/>
      <c r="R28" s="9" t="str">
        <f>IF(Q28="","",Q28-8)</f>
        <v/>
      </c>
      <c r="S28" s="6"/>
      <c r="T28" s="7"/>
      <c r="U28" s="7"/>
      <c r="V28" s="8"/>
      <c r="W28" s="9" t="str">
        <f>IF(V28="","",V28-8)</f>
        <v/>
      </c>
      <c r="X28" s="11"/>
    </row>
    <row r="29" spans="2:24">
      <c r="B29" s="5">
        <v>43392</v>
      </c>
      <c r="C29" s="23" t="s">
        <v>235</v>
      </c>
      <c r="D29" s="6"/>
      <c r="E29" s="7"/>
      <c r="F29" s="7"/>
      <c r="G29" s="8"/>
      <c r="H29" s="9" t="str">
        <f>IF(G29="","",G29-8)</f>
        <v/>
      </c>
      <c r="I29" s="10"/>
      <c r="J29" s="7"/>
      <c r="K29" s="7"/>
      <c r="L29" s="8"/>
      <c r="M29" s="9" t="str">
        <f>IF(L29="","",L29-8)</f>
        <v/>
      </c>
      <c r="N29" s="10"/>
      <c r="O29" s="7"/>
      <c r="P29" s="7"/>
      <c r="Q29" s="8"/>
      <c r="R29" s="9" t="str">
        <f>IF(Q29="","",Q29-8)</f>
        <v/>
      </c>
      <c r="S29" s="6"/>
      <c r="T29" s="7"/>
      <c r="U29" s="7"/>
      <c r="V29" s="8"/>
      <c r="W29" s="9" t="str">
        <f>IF(V29="","",V29-8)</f>
        <v/>
      </c>
      <c r="X29" s="11"/>
    </row>
    <row r="30" spans="2:24">
      <c r="B30" s="12">
        <v>43393</v>
      </c>
      <c r="C30" s="24" t="s">
        <v>236</v>
      </c>
      <c r="D30" s="13"/>
      <c r="E30" s="14"/>
      <c r="F30" s="14"/>
      <c r="G30" s="15"/>
      <c r="H30" s="16"/>
      <c r="I30" s="13"/>
      <c r="J30" s="14"/>
      <c r="K30" s="14"/>
      <c r="L30" s="15"/>
      <c r="M30" s="16"/>
      <c r="N30" s="13"/>
      <c r="O30" s="14"/>
      <c r="P30" s="14"/>
      <c r="Q30" s="15"/>
      <c r="R30" s="16"/>
      <c r="S30" s="13"/>
      <c r="T30" s="14"/>
      <c r="U30" s="14"/>
      <c r="V30" s="15"/>
      <c r="W30" s="16"/>
      <c r="X30" s="17"/>
    </row>
    <row r="31" spans="2:24">
      <c r="B31" s="12">
        <v>43394</v>
      </c>
      <c r="C31" s="24" t="s">
        <v>230</v>
      </c>
      <c r="D31" s="13"/>
      <c r="E31" s="14"/>
      <c r="F31" s="14"/>
      <c r="G31" s="15"/>
      <c r="H31" s="16"/>
      <c r="I31" s="13"/>
      <c r="J31" s="14"/>
      <c r="K31" s="14"/>
      <c r="L31" s="15"/>
      <c r="M31" s="16"/>
      <c r="N31" s="13"/>
      <c r="O31" s="14"/>
      <c r="P31" s="14"/>
      <c r="Q31" s="15"/>
      <c r="R31" s="16"/>
      <c r="S31" s="13"/>
      <c r="T31" s="14"/>
      <c r="U31" s="14"/>
      <c r="V31" s="15"/>
      <c r="W31" s="16"/>
      <c r="X31" s="17"/>
    </row>
    <row r="32" spans="2:24">
      <c r="B32" s="51" t="s">
        <v>309</v>
      </c>
      <c r="C32" s="52"/>
      <c r="D32" s="18"/>
      <c r="E32" s="19"/>
      <c r="F32" s="19"/>
      <c r="G32" s="20"/>
      <c r="H32" s="21">
        <f>SUM(H25:H31)</f>
        <v>0</v>
      </c>
      <c r="I32" s="18"/>
      <c r="J32" s="19"/>
      <c r="K32" s="19"/>
      <c r="L32" s="20"/>
      <c r="M32" s="21">
        <f>SUM(M25:M31)</f>
        <v>0</v>
      </c>
      <c r="N32" s="18"/>
      <c r="O32" s="19"/>
      <c r="P32" s="19"/>
      <c r="Q32" s="20"/>
      <c r="R32" s="21">
        <f>SUM(R25:R31)</f>
        <v>0</v>
      </c>
      <c r="S32" s="18"/>
      <c r="T32" s="19"/>
      <c r="U32" s="19"/>
      <c r="V32" s="20"/>
      <c r="W32" s="21">
        <f>SUM(W25:W31)</f>
        <v>0</v>
      </c>
      <c r="X32" s="22"/>
    </row>
    <row r="33" spans="2:24">
      <c r="B33" s="5">
        <v>43395</v>
      </c>
      <c r="C33" s="23" t="s">
        <v>238</v>
      </c>
      <c r="D33" s="6"/>
      <c r="E33" s="7"/>
      <c r="F33" s="7"/>
      <c r="G33" s="8"/>
      <c r="H33" s="9" t="str">
        <f>IF(G33="","",G33-8)</f>
        <v/>
      </c>
      <c r="I33" s="10"/>
      <c r="J33" s="7"/>
      <c r="K33" s="7"/>
      <c r="L33" s="8"/>
      <c r="M33" s="9" t="str">
        <f>IF(L33="","",L33-8)</f>
        <v/>
      </c>
      <c r="N33" s="10"/>
      <c r="O33" s="7"/>
      <c r="P33" s="7"/>
      <c r="Q33" s="8"/>
      <c r="R33" s="9" t="str">
        <f>IF(Q33="","",Q33-8)</f>
        <v/>
      </c>
      <c r="S33" s="6"/>
      <c r="T33" s="7"/>
      <c r="U33" s="7"/>
      <c r="V33" s="8"/>
      <c r="W33" s="9" t="str">
        <f>IF(V33="","",V33-8)</f>
        <v/>
      </c>
      <c r="X33" s="11"/>
    </row>
    <row r="34" spans="2:24">
      <c r="B34" s="5">
        <v>43396</v>
      </c>
      <c r="C34" s="23" t="s">
        <v>239</v>
      </c>
      <c r="D34" s="6"/>
      <c r="E34" s="7"/>
      <c r="F34" s="7"/>
      <c r="G34" s="8"/>
      <c r="H34" s="9" t="str">
        <f>IF(G34="","",G34-8)</f>
        <v/>
      </c>
      <c r="I34" s="10"/>
      <c r="J34" s="7"/>
      <c r="K34" s="7"/>
      <c r="L34" s="8"/>
      <c r="M34" s="9" t="str">
        <f>IF(L34="","",L34-8)</f>
        <v/>
      </c>
      <c r="N34" s="10"/>
      <c r="O34" s="7"/>
      <c r="P34" s="7"/>
      <c r="Q34" s="8"/>
      <c r="R34" s="9" t="str">
        <f>IF(Q34="","",Q34-8)</f>
        <v/>
      </c>
      <c r="S34" s="6"/>
      <c r="T34" s="7"/>
      <c r="U34" s="7"/>
      <c r="V34" s="8"/>
      <c r="W34" s="9" t="str">
        <f>IF(V34="","",V34-8)</f>
        <v/>
      </c>
      <c r="X34" s="11"/>
    </row>
    <row r="35" spans="2:24">
      <c r="B35" s="5">
        <v>43397</v>
      </c>
      <c r="C35" s="23" t="s">
        <v>240</v>
      </c>
      <c r="D35" s="6"/>
      <c r="E35" s="7"/>
      <c r="F35" s="7"/>
      <c r="G35" s="8"/>
      <c r="H35" s="9" t="str">
        <f>IF(G35="","",G35-8)</f>
        <v/>
      </c>
      <c r="I35" s="10"/>
      <c r="J35" s="7"/>
      <c r="K35" s="7"/>
      <c r="L35" s="8"/>
      <c r="M35" s="9" t="str">
        <f>IF(L35="","",L35-8)</f>
        <v/>
      </c>
      <c r="N35" s="10"/>
      <c r="O35" s="7"/>
      <c r="P35" s="7"/>
      <c r="Q35" s="8"/>
      <c r="R35" s="9" t="str">
        <f>IF(Q35="","",Q35-8)</f>
        <v/>
      </c>
      <c r="S35" s="6"/>
      <c r="T35" s="7"/>
      <c r="U35" s="7"/>
      <c r="V35" s="8"/>
      <c r="W35" s="9" t="str">
        <f>IF(V35="","",V35-8)</f>
        <v/>
      </c>
      <c r="X35" s="11"/>
    </row>
    <row r="36" spans="2:24">
      <c r="B36" s="5">
        <v>43398</v>
      </c>
      <c r="C36" s="23" t="s">
        <v>241</v>
      </c>
      <c r="D36" s="6"/>
      <c r="E36" s="7"/>
      <c r="F36" s="7"/>
      <c r="G36" s="8"/>
      <c r="H36" s="9" t="str">
        <f>IF(G36="","",G36-8)</f>
        <v/>
      </c>
      <c r="I36" s="10"/>
      <c r="J36" s="7"/>
      <c r="K36" s="7"/>
      <c r="L36" s="8"/>
      <c r="M36" s="9" t="str">
        <f>IF(L36="","",L36-8)</f>
        <v/>
      </c>
      <c r="N36" s="10"/>
      <c r="O36" s="7"/>
      <c r="P36" s="7"/>
      <c r="Q36" s="8"/>
      <c r="R36" s="9" t="str">
        <f>IF(Q36="","",Q36-8)</f>
        <v/>
      </c>
      <c r="S36" s="6"/>
      <c r="T36" s="7"/>
      <c r="U36" s="7"/>
      <c r="V36" s="8"/>
      <c r="W36" s="9" t="str">
        <f>IF(V36="","",V36-8)</f>
        <v/>
      </c>
      <c r="X36" s="11"/>
    </row>
    <row r="37" spans="2:24">
      <c r="B37" s="5">
        <v>43399</v>
      </c>
      <c r="C37" s="23" t="s">
        <v>242</v>
      </c>
      <c r="D37" s="6"/>
      <c r="E37" s="7"/>
      <c r="F37" s="7"/>
      <c r="G37" s="8"/>
      <c r="H37" s="9" t="str">
        <f>IF(G37="","",G37-8)</f>
        <v/>
      </c>
      <c r="I37" s="10"/>
      <c r="J37" s="7"/>
      <c r="K37" s="7"/>
      <c r="L37" s="8"/>
      <c r="M37" s="9" t="str">
        <f>IF(L37="","",L37-8)</f>
        <v/>
      </c>
      <c r="N37" s="10"/>
      <c r="O37" s="7"/>
      <c r="P37" s="7"/>
      <c r="Q37" s="8"/>
      <c r="R37" s="9" t="str">
        <f>IF(Q37="","",Q37-8)</f>
        <v/>
      </c>
      <c r="S37" s="6"/>
      <c r="T37" s="7"/>
      <c r="U37" s="7"/>
      <c r="V37" s="8"/>
      <c r="W37" s="9" t="str">
        <f>IF(V37="","",V37-8)</f>
        <v/>
      </c>
      <c r="X37" s="11"/>
    </row>
    <row r="38" spans="2:24">
      <c r="B38" s="12">
        <v>43400</v>
      </c>
      <c r="C38" s="24" t="s">
        <v>243</v>
      </c>
      <c r="D38" s="13"/>
      <c r="E38" s="14"/>
      <c r="F38" s="14"/>
      <c r="G38" s="15"/>
      <c r="H38" s="16"/>
      <c r="I38" s="13"/>
      <c r="J38" s="14"/>
      <c r="K38" s="14"/>
      <c r="L38" s="15"/>
      <c r="M38" s="16"/>
      <c r="N38" s="13"/>
      <c r="O38" s="14"/>
      <c r="P38" s="14"/>
      <c r="Q38" s="15"/>
      <c r="R38" s="16"/>
      <c r="S38" s="13"/>
      <c r="T38" s="14"/>
      <c r="U38" s="14"/>
      <c r="V38" s="15"/>
      <c r="W38" s="16"/>
      <c r="X38" s="17"/>
    </row>
    <row r="39" spans="2:24">
      <c r="B39" s="12">
        <v>43401</v>
      </c>
      <c r="C39" s="24" t="s">
        <v>237</v>
      </c>
      <c r="D39" s="13"/>
      <c r="E39" s="14"/>
      <c r="F39" s="14"/>
      <c r="G39" s="15"/>
      <c r="H39" s="16"/>
      <c r="I39" s="13"/>
      <c r="J39" s="14"/>
      <c r="K39" s="14"/>
      <c r="L39" s="15"/>
      <c r="M39" s="16"/>
      <c r="N39" s="13"/>
      <c r="O39" s="14"/>
      <c r="P39" s="14"/>
      <c r="Q39" s="15"/>
      <c r="R39" s="16"/>
      <c r="S39" s="13"/>
      <c r="T39" s="14"/>
      <c r="U39" s="14"/>
      <c r="V39" s="15"/>
      <c r="W39" s="16"/>
      <c r="X39" s="17"/>
    </row>
    <row r="40" spans="2:24">
      <c r="B40" s="51" t="s">
        <v>309</v>
      </c>
      <c r="C40" s="52"/>
      <c r="D40" s="18"/>
      <c r="E40" s="19"/>
      <c r="F40" s="19"/>
      <c r="G40" s="20"/>
      <c r="H40" s="21">
        <f>SUM(H33:H39)</f>
        <v>0</v>
      </c>
      <c r="I40" s="18"/>
      <c r="J40" s="19"/>
      <c r="K40" s="19"/>
      <c r="L40" s="20"/>
      <c r="M40" s="21">
        <f>SUM(M33:M39)</f>
        <v>0</v>
      </c>
      <c r="N40" s="18"/>
      <c r="O40" s="19"/>
      <c r="P40" s="19"/>
      <c r="Q40" s="20"/>
      <c r="R40" s="21">
        <f>SUM(R33:R39)</f>
        <v>0</v>
      </c>
      <c r="S40" s="18"/>
      <c r="T40" s="19"/>
      <c r="U40" s="19"/>
      <c r="V40" s="20"/>
      <c r="W40" s="21">
        <f>SUM(W33:W39)</f>
        <v>0</v>
      </c>
      <c r="X40" s="22"/>
    </row>
    <row r="41" spans="2:24">
      <c r="B41" s="5">
        <v>43402</v>
      </c>
      <c r="C41" s="23" t="s">
        <v>244</v>
      </c>
      <c r="D41" s="6"/>
      <c r="E41" s="7"/>
      <c r="F41" s="7"/>
      <c r="G41" s="8"/>
      <c r="H41" s="9" t="str">
        <f>IF(G41="","",G41-8)</f>
        <v/>
      </c>
      <c r="I41" s="10"/>
      <c r="J41" s="7"/>
      <c r="K41" s="7"/>
      <c r="L41" s="8"/>
      <c r="M41" s="9" t="str">
        <f>IF(L41="","",L41-8)</f>
        <v/>
      </c>
      <c r="N41" s="10"/>
      <c r="O41" s="7"/>
      <c r="P41" s="7"/>
      <c r="Q41" s="8"/>
      <c r="R41" s="9" t="str">
        <f>IF(Q41="","",Q41-8)</f>
        <v/>
      </c>
      <c r="S41" s="6"/>
      <c r="T41" s="7"/>
      <c r="U41" s="7"/>
      <c r="V41" s="8"/>
      <c r="W41" s="9" t="str">
        <f>IF(V41="","",V41-8)</f>
        <v/>
      </c>
      <c r="X41" s="11"/>
    </row>
    <row r="42" spans="2:24">
      <c r="B42" s="5">
        <v>43403</v>
      </c>
      <c r="C42" s="23" t="s">
        <v>245</v>
      </c>
      <c r="D42" s="6"/>
      <c r="E42" s="7"/>
      <c r="F42" s="7"/>
      <c r="G42" s="8"/>
      <c r="H42" s="9" t="str">
        <f>IF(G42="","",G42-8)</f>
        <v/>
      </c>
      <c r="I42" s="10"/>
      <c r="J42" s="7"/>
      <c r="K42" s="7"/>
      <c r="L42" s="8"/>
      <c r="M42" s="9" t="str">
        <f>IF(L42="","",L42-8)</f>
        <v/>
      </c>
      <c r="N42" s="10"/>
      <c r="O42" s="7"/>
      <c r="P42" s="7"/>
      <c r="Q42" s="8"/>
      <c r="R42" s="9" t="str">
        <f>IF(Q42="","",Q42-8)</f>
        <v/>
      </c>
      <c r="S42" s="6"/>
      <c r="T42" s="7"/>
      <c r="U42" s="7"/>
      <c r="V42" s="8"/>
      <c r="W42" s="9" t="str">
        <f>IF(V42="","",V42-8)</f>
        <v/>
      </c>
      <c r="X42" s="11"/>
    </row>
    <row r="43" spans="2:24">
      <c r="B43" s="5">
        <v>43404</v>
      </c>
      <c r="C43" s="23" t="s">
        <v>342</v>
      </c>
      <c r="D43" s="6"/>
      <c r="E43" s="7"/>
      <c r="F43" s="7"/>
      <c r="G43" s="8"/>
      <c r="H43" s="9" t="str">
        <f>IF(G43="","",G43-8)</f>
        <v/>
      </c>
      <c r="I43" s="10"/>
      <c r="J43" s="7"/>
      <c r="K43" s="7"/>
      <c r="L43" s="8"/>
      <c r="M43" s="9" t="str">
        <f>IF(L43="","",L43-8)</f>
        <v/>
      </c>
      <c r="N43" s="10"/>
      <c r="O43" s="7"/>
      <c r="P43" s="7"/>
      <c r="Q43" s="8"/>
      <c r="R43" s="9" t="str">
        <f>IF(Q43="","",Q43-8)</f>
        <v/>
      </c>
      <c r="S43" s="6"/>
      <c r="T43" s="7"/>
      <c r="U43" s="7"/>
      <c r="V43" s="8"/>
      <c r="W43" s="9" t="str">
        <f>IF(V43="","",V43-8)</f>
        <v/>
      </c>
      <c r="X43" s="11"/>
    </row>
    <row r="44" spans="2:24">
      <c r="B44" s="50" t="s">
        <v>401</v>
      </c>
      <c r="C44" s="50"/>
      <c r="D44" s="1"/>
      <c r="E44" s="1"/>
      <c r="F44" s="1"/>
      <c r="G44" s="1"/>
      <c r="H44" s="25">
        <f>SUM(SUMIF($B$9:$B$50,"Total hours",H$9:H$50),'2018.9'!H$44:H$44)</f>
        <v>166</v>
      </c>
      <c r="I44" s="1"/>
      <c r="J44" s="1"/>
      <c r="K44" s="1"/>
      <c r="L44" s="1"/>
      <c r="M44" s="25">
        <f>SUM(SUMIF($B$9:$B$50,"Total hours",M$9:M$50),'2018.9'!M$44:M$44)</f>
        <v>95</v>
      </c>
      <c r="N44" s="1"/>
      <c r="O44" s="1"/>
      <c r="P44" s="1"/>
      <c r="Q44" s="1"/>
      <c r="R44" s="25">
        <f>SUM(SUMIF($B$9:$B$50,"Total hours",R$9:R$50),'2018.9'!R$44:R$44)</f>
        <v>61.5</v>
      </c>
      <c r="S44" s="1"/>
      <c r="T44" s="1"/>
      <c r="U44" s="1"/>
      <c r="V44" s="1"/>
      <c r="W44" s="25">
        <f>SUM(SUMIF($B$9:$B$50,"Total hours",W$9:W$50),'2018.9'!W$44:W$44)</f>
        <v>14.5</v>
      </c>
      <c r="X44" s="26"/>
    </row>
    <row r="46" spans="2:24">
      <c r="B46" s="27" t="s">
        <v>379</v>
      </c>
      <c r="C46" s="28"/>
      <c r="D46" s="28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30"/>
      <c r="R46" s="30"/>
      <c r="S46" s="31"/>
    </row>
    <row r="47" spans="2:24">
      <c r="B47" s="32" t="s">
        <v>380</v>
      </c>
      <c r="C47" s="33" t="s">
        <v>381</v>
      </c>
      <c r="D47" s="34"/>
      <c r="E47" s="35"/>
      <c r="F47" s="35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6"/>
      <c r="R47" s="36"/>
      <c r="S47" s="37"/>
    </row>
    <row r="48" spans="2:24">
      <c r="B48" s="38"/>
      <c r="C48" s="34" t="s">
        <v>382</v>
      </c>
      <c r="D48" s="39"/>
      <c r="E48" s="35" t="s">
        <v>383</v>
      </c>
      <c r="F48" s="35"/>
      <c r="G48" s="34"/>
      <c r="H48" s="34"/>
      <c r="I48" s="34" t="s">
        <v>384</v>
      </c>
      <c r="J48" s="39"/>
      <c r="K48" s="35" t="s">
        <v>385</v>
      </c>
      <c r="L48" s="34"/>
      <c r="M48" s="34"/>
      <c r="N48" s="34"/>
      <c r="O48" s="34" t="s">
        <v>386</v>
      </c>
      <c r="P48" s="34"/>
      <c r="Q48" s="36" t="s">
        <v>387</v>
      </c>
      <c r="R48" s="36"/>
      <c r="S48" s="37"/>
    </row>
    <row r="49" spans="2:19">
      <c r="B49" s="38"/>
      <c r="C49" s="44" t="s">
        <v>388</v>
      </c>
      <c r="D49" s="45"/>
      <c r="E49" s="45"/>
      <c r="F49" s="45"/>
      <c r="G49" s="45"/>
      <c r="H49" s="45"/>
      <c r="I49" s="45"/>
      <c r="J49" s="45"/>
      <c r="K49" s="34"/>
      <c r="L49" s="34"/>
      <c r="M49" s="34"/>
      <c r="N49" s="46"/>
      <c r="O49" s="34"/>
      <c r="P49" s="34"/>
      <c r="Q49" s="36"/>
      <c r="R49" s="36"/>
      <c r="S49" s="37"/>
    </row>
    <row r="50" spans="2:19">
      <c r="B50" s="32" t="s">
        <v>389</v>
      </c>
      <c r="C50" s="33" t="s">
        <v>390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7" t="s">
        <v>391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8" t="s">
        <v>392</v>
      </c>
      <c r="D52" s="34"/>
      <c r="E52" s="35"/>
      <c r="F52" s="35" t="s">
        <v>393</v>
      </c>
      <c r="G52" s="34"/>
      <c r="H52" s="34"/>
      <c r="I52" s="34" t="s">
        <v>394</v>
      </c>
      <c r="J52" s="34"/>
      <c r="K52" s="34"/>
      <c r="L52" s="34" t="s">
        <v>395</v>
      </c>
      <c r="M52" s="34"/>
      <c r="N52" s="34"/>
      <c r="O52" s="34"/>
      <c r="P52" s="34"/>
      <c r="Q52" s="36"/>
      <c r="R52" s="36"/>
      <c r="S52" s="37"/>
    </row>
    <row r="53" spans="2:19">
      <c r="B53" s="38"/>
      <c r="C53" s="34"/>
      <c r="D53" s="34"/>
      <c r="E53" s="35"/>
      <c r="F53" s="35" t="s">
        <v>396</v>
      </c>
      <c r="G53" s="34"/>
      <c r="H53" s="34"/>
      <c r="I53" s="34" t="s">
        <v>397</v>
      </c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32" t="s">
        <v>398</v>
      </c>
      <c r="C54" s="33" t="s">
        <v>399</v>
      </c>
      <c r="D54" s="34"/>
      <c r="E54" s="35"/>
      <c r="F54" s="35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40"/>
      <c r="C55" s="41" t="s">
        <v>400</v>
      </c>
      <c r="D55" s="41"/>
      <c r="E55" s="42"/>
      <c r="F55" s="42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3"/>
      <c r="R55" s="43"/>
      <c r="S55" s="49"/>
    </row>
  </sheetData>
  <mergeCells count="13">
    <mergeCell ref="X7:X8"/>
    <mergeCell ref="B4:X4"/>
    <mergeCell ref="B7:B8"/>
    <mergeCell ref="C7:C8"/>
    <mergeCell ref="D7:H7"/>
    <mergeCell ref="I7:M7"/>
    <mergeCell ref="N7:R7"/>
    <mergeCell ref="S7:W7"/>
    <mergeCell ref="B16:C16"/>
    <mergeCell ref="B24:C24"/>
    <mergeCell ref="B32:C32"/>
    <mergeCell ref="B40:C40"/>
    <mergeCell ref="B44:C44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X54"/>
  <sheetViews>
    <sheetView topLeftCell="A43" zoomScale="85" zoomScaleNormal="85" workbookViewId="0">
      <selection activeCell="B45" sqref="B45:S54"/>
    </sheetView>
  </sheetViews>
  <sheetFormatPr defaultRowHeight="15"/>
  <cols>
    <col min="2" max="2" width="10.7109375" bestFit="1" customWidth="1"/>
    <col min="3" max="3" width="10.140625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43405</v>
      </c>
      <c r="C9" s="23" t="s">
        <v>343</v>
      </c>
      <c r="D9" s="6"/>
      <c r="E9" s="7"/>
      <c r="F9" s="7"/>
      <c r="G9" s="8"/>
      <c r="H9" s="9" t="str">
        <f>IF(G9="","",G9-8)</f>
        <v/>
      </c>
      <c r="I9" s="10"/>
      <c r="J9" s="7"/>
      <c r="K9" s="7"/>
      <c r="L9" s="8"/>
      <c r="M9" s="9" t="str">
        <f>IF(L9="","",L9-8)</f>
        <v/>
      </c>
      <c r="N9" s="10"/>
      <c r="O9" s="7"/>
      <c r="P9" s="7"/>
      <c r="Q9" s="8"/>
      <c r="R9" s="9" t="str">
        <f>IF(Q9="","",Q9-8)</f>
        <v/>
      </c>
      <c r="S9" s="6"/>
      <c r="T9" s="7"/>
      <c r="U9" s="7"/>
      <c r="V9" s="8"/>
      <c r="W9" s="9" t="str">
        <f>IF(V9="","",V9-8)</f>
        <v/>
      </c>
      <c r="X9" s="11"/>
    </row>
    <row r="10" spans="2:24">
      <c r="B10" s="5">
        <v>43406</v>
      </c>
      <c r="C10" s="23" t="s">
        <v>344</v>
      </c>
      <c r="D10" s="6"/>
      <c r="E10" s="7"/>
      <c r="F10" s="7"/>
      <c r="G10" s="8"/>
      <c r="H10" s="9" t="str">
        <f>IF(G10="","",G10-8)</f>
        <v/>
      </c>
      <c r="I10" s="10"/>
      <c r="J10" s="7"/>
      <c r="K10" s="7"/>
      <c r="L10" s="8"/>
      <c r="M10" s="9" t="str">
        <f>IF(L10="","",L10-8)</f>
        <v/>
      </c>
      <c r="N10" s="10"/>
      <c r="O10" s="7"/>
      <c r="P10" s="7"/>
      <c r="Q10" s="8"/>
      <c r="R10" s="9" t="str">
        <f>IF(Q10="","",Q10-8)</f>
        <v/>
      </c>
      <c r="S10" s="6"/>
      <c r="T10" s="7"/>
      <c r="U10" s="7"/>
      <c r="V10" s="8"/>
      <c r="W10" s="9" t="str">
        <f>IF(V10="","",V10-8)</f>
        <v/>
      </c>
      <c r="X10" s="11"/>
    </row>
    <row r="11" spans="2:24">
      <c r="B11" s="12">
        <v>43407</v>
      </c>
      <c r="C11" s="24" t="s">
        <v>345</v>
      </c>
      <c r="D11" s="13"/>
      <c r="E11" s="14"/>
      <c r="F11" s="14"/>
      <c r="G11" s="15"/>
      <c r="H11" s="16"/>
      <c r="I11" s="13"/>
      <c r="J11" s="14"/>
      <c r="K11" s="14"/>
      <c r="L11" s="15"/>
      <c r="M11" s="16"/>
      <c r="N11" s="13"/>
      <c r="O11" s="14"/>
      <c r="P11" s="14"/>
      <c r="Q11" s="15"/>
      <c r="R11" s="16"/>
      <c r="S11" s="13"/>
      <c r="T11" s="14"/>
      <c r="U11" s="14"/>
      <c r="V11" s="15"/>
      <c r="W11" s="16"/>
      <c r="X11" s="17"/>
    </row>
    <row r="12" spans="2:24">
      <c r="B12" s="12">
        <v>43408</v>
      </c>
      <c r="C12" s="24" t="s">
        <v>346</v>
      </c>
      <c r="D12" s="13"/>
      <c r="E12" s="14"/>
      <c r="F12" s="14"/>
      <c r="G12" s="15"/>
      <c r="H12" s="16"/>
      <c r="I12" s="13"/>
      <c r="J12" s="14"/>
      <c r="K12" s="14"/>
      <c r="L12" s="15"/>
      <c r="M12" s="16"/>
      <c r="N12" s="13"/>
      <c r="O12" s="14"/>
      <c r="P12" s="14"/>
      <c r="Q12" s="15"/>
      <c r="R12" s="16"/>
      <c r="S12" s="13"/>
      <c r="T12" s="14"/>
      <c r="U12" s="14"/>
      <c r="V12" s="15"/>
      <c r="W12" s="16"/>
      <c r="X12" s="17"/>
    </row>
    <row r="13" spans="2:24">
      <c r="B13" s="51" t="s">
        <v>309</v>
      </c>
      <c r="C13" s="52"/>
      <c r="D13" s="18"/>
      <c r="E13" s="19"/>
      <c r="F13" s="19"/>
      <c r="G13" s="20"/>
      <c r="H13" s="21">
        <f>SUM(H$9:H12,'2018.10'!H$41:H$43)</f>
        <v>0</v>
      </c>
      <c r="I13" s="18"/>
      <c r="J13" s="19"/>
      <c r="K13" s="19"/>
      <c r="L13" s="20"/>
      <c r="M13" s="21">
        <f>SUM(M$9:M12,'2018.10'!M$41:M$43)</f>
        <v>0</v>
      </c>
      <c r="N13" s="18"/>
      <c r="O13" s="19"/>
      <c r="P13" s="19"/>
      <c r="Q13" s="20"/>
      <c r="R13" s="21">
        <f>SUM(R$9:R12,'2018.10'!R$41:R$43)</f>
        <v>0</v>
      </c>
      <c r="S13" s="18"/>
      <c r="T13" s="19"/>
      <c r="U13" s="19"/>
      <c r="V13" s="20"/>
      <c r="W13" s="21">
        <f>SUM(W$9:W12,'2018.10'!W$41:W$43)</f>
        <v>0</v>
      </c>
      <c r="X13" s="22"/>
    </row>
    <row r="14" spans="2:24">
      <c r="B14" s="5">
        <v>43409</v>
      </c>
      <c r="C14" s="23" t="s">
        <v>247</v>
      </c>
      <c r="D14" s="6"/>
      <c r="E14" s="7"/>
      <c r="F14" s="7"/>
      <c r="G14" s="8"/>
      <c r="H14" s="9" t="str">
        <f>IF(G14="","",G14-8)</f>
        <v/>
      </c>
      <c r="I14" s="10"/>
      <c r="J14" s="7"/>
      <c r="K14" s="7"/>
      <c r="L14" s="8"/>
      <c r="M14" s="9" t="str">
        <f>IF(L14="","",L14-8)</f>
        <v/>
      </c>
      <c r="N14" s="10"/>
      <c r="O14" s="7"/>
      <c r="P14" s="7"/>
      <c r="Q14" s="8"/>
      <c r="R14" s="9" t="str">
        <f>IF(Q14="","",Q14-8)</f>
        <v/>
      </c>
      <c r="S14" s="6"/>
      <c r="T14" s="7"/>
      <c r="U14" s="7"/>
      <c r="V14" s="8"/>
      <c r="W14" s="9" t="str">
        <f>IF(V14="","",V14-8)</f>
        <v/>
      </c>
      <c r="X14" s="11"/>
    </row>
    <row r="15" spans="2:24">
      <c r="B15" s="5">
        <v>43410</v>
      </c>
      <c r="C15" s="23" t="s">
        <v>9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5">
        <v>43411</v>
      </c>
      <c r="C16" s="23" t="s">
        <v>248</v>
      </c>
      <c r="D16" s="6"/>
      <c r="E16" s="7"/>
      <c r="F16" s="7"/>
      <c r="G16" s="8"/>
      <c r="H16" s="9" t="str">
        <f>IF(G16="","",G16-8)</f>
        <v/>
      </c>
      <c r="I16" s="10"/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/>
      <c r="T16" s="7"/>
      <c r="U16" s="7"/>
      <c r="V16" s="8"/>
      <c r="W16" s="9" t="str">
        <f>IF(V16="","",V16-8)</f>
        <v/>
      </c>
      <c r="X16" s="11"/>
    </row>
    <row r="17" spans="2:24">
      <c r="B17" s="5">
        <v>43412</v>
      </c>
      <c r="C17" s="23" t="s">
        <v>249</v>
      </c>
      <c r="D17" s="6"/>
      <c r="E17" s="7"/>
      <c r="F17" s="7"/>
      <c r="G17" s="8"/>
      <c r="H17" s="9" t="str">
        <f>IF(G17="","",G17-8)</f>
        <v/>
      </c>
      <c r="I17" s="10"/>
      <c r="J17" s="7"/>
      <c r="K17" s="7"/>
      <c r="L17" s="8"/>
      <c r="M17" s="9" t="str">
        <f>IF(L17="","",L17-8)</f>
        <v/>
      </c>
      <c r="N17" s="10"/>
      <c r="O17" s="7"/>
      <c r="P17" s="7"/>
      <c r="Q17" s="8"/>
      <c r="R17" s="9" t="str">
        <f>IF(Q17="","",Q17-8)</f>
        <v/>
      </c>
      <c r="S17" s="6"/>
      <c r="T17" s="7"/>
      <c r="U17" s="7"/>
      <c r="V17" s="8"/>
      <c r="W17" s="9" t="str">
        <f>IF(V17="","",V17-8)</f>
        <v/>
      </c>
      <c r="X17" s="11"/>
    </row>
    <row r="18" spans="2:24">
      <c r="B18" s="5">
        <v>43413</v>
      </c>
      <c r="C18" s="23" t="s">
        <v>250</v>
      </c>
      <c r="D18" s="6"/>
      <c r="E18" s="7"/>
      <c r="F18" s="7"/>
      <c r="G18" s="8"/>
      <c r="H18" s="9" t="str">
        <f>IF(G18="","",G18-8)</f>
        <v/>
      </c>
      <c r="I18" s="10"/>
      <c r="J18" s="7"/>
      <c r="K18" s="7"/>
      <c r="L18" s="8"/>
      <c r="M18" s="9" t="str">
        <f>IF(L18="","",L18-8)</f>
        <v/>
      </c>
      <c r="N18" s="10"/>
      <c r="O18" s="7"/>
      <c r="P18" s="7"/>
      <c r="Q18" s="8"/>
      <c r="R18" s="9" t="str">
        <f>IF(Q18="","",Q18-8)</f>
        <v/>
      </c>
      <c r="S18" s="6"/>
      <c r="T18" s="7"/>
      <c r="U18" s="7"/>
      <c r="V18" s="8"/>
      <c r="W18" s="9" t="str">
        <f>IF(V18="","",V18-8)</f>
        <v/>
      </c>
      <c r="X18" s="11"/>
    </row>
    <row r="19" spans="2:24">
      <c r="B19" s="12">
        <v>43414</v>
      </c>
      <c r="C19" s="24" t="s">
        <v>251</v>
      </c>
      <c r="D19" s="13"/>
      <c r="E19" s="14"/>
      <c r="F19" s="14"/>
      <c r="G19" s="15"/>
      <c r="H19" s="16"/>
      <c r="I19" s="13"/>
      <c r="J19" s="14"/>
      <c r="K19" s="14"/>
      <c r="L19" s="15"/>
      <c r="M19" s="16"/>
      <c r="N19" s="13"/>
      <c r="O19" s="14"/>
      <c r="P19" s="14"/>
      <c r="Q19" s="15"/>
      <c r="R19" s="16"/>
      <c r="S19" s="13"/>
      <c r="T19" s="14"/>
      <c r="U19" s="14"/>
      <c r="V19" s="15"/>
      <c r="W19" s="16"/>
      <c r="X19" s="17"/>
    </row>
    <row r="20" spans="2:24">
      <c r="B20" s="12">
        <v>43415</v>
      </c>
      <c r="C20" s="24" t="s">
        <v>246</v>
      </c>
      <c r="D20" s="13"/>
      <c r="E20" s="14"/>
      <c r="F20" s="14"/>
      <c r="G20" s="15"/>
      <c r="H20" s="16"/>
      <c r="I20" s="13"/>
      <c r="J20" s="14"/>
      <c r="K20" s="14"/>
      <c r="L20" s="15"/>
      <c r="M20" s="16"/>
      <c r="N20" s="13"/>
      <c r="O20" s="14"/>
      <c r="P20" s="14"/>
      <c r="Q20" s="15"/>
      <c r="R20" s="16"/>
      <c r="S20" s="13"/>
      <c r="T20" s="14"/>
      <c r="U20" s="14"/>
      <c r="V20" s="15"/>
      <c r="W20" s="16"/>
      <c r="X20" s="17"/>
    </row>
    <row r="21" spans="2:24">
      <c r="B21" s="51" t="s">
        <v>309</v>
      </c>
      <c r="C21" s="52"/>
      <c r="D21" s="18"/>
      <c r="E21" s="19"/>
      <c r="F21" s="19"/>
      <c r="G21" s="20"/>
      <c r="H21" s="21">
        <f>SUM(H14:H20)</f>
        <v>0</v>
      </c>
      <c r="I21" s="18"/>
      <c r="J21" s="19"/>
      <c r="K21" s="19"/>
      <c r="L21" s="20"/>
      <c r="M21" s="21">
        <f>SUM(M14:M20)</f>
        <v>0</v>
      </c>
      <c r="N21" s="18"/>
      <c r="O21" s="19"/>
      <c r="P21" s="19"/>
      <c r="Q21" s="20"/>
      <c r="R21" s="21">
        <f>SUM(R14:R20)</f>
        <v>0</v>
      </c>
      <c r="S21" s="18"/>
      <c r="T21" s="19"/>
      <c r="U21" s="19"/>
      <c r="V21" s="20"/>
      <c r="W21" s="21">
        <f>SUM(W14:W20)</f>
        <v>0</v>
      </c>
      <c r="X21" s="22"/>
    </row>
    <row r="22" spans="2:24">
      <c r="B22" s="5">
        <v>43416</v>
      </c>
      <c r="C22" s="23" t="s">
        <v>253</v>
      </c>
      <c r="D22" s="6"/>
      <c r="E22" s="7"/>
      <c r="F22" s="7"/>
      <c r="G22" s="8"/>
      <c r="H22" s="9" t="str">
        <f>IF(G22="","",G22-8)</f>
        <v/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43417</v>
      </c>
      <c r="C23" s="23" t="s">
        <v>254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5">
        <v>43418</v>
      </c>
      <c r="C24" s="23" t="s">
        <v>255</v>
      </c>
      <c r="D24" s="6"/>
      <c r="E24" s="7"/>
      <c r="F24" s="7"/>
      <c r="G24" s="8"/>
      <c r="H24" s="9" t="str">
        <f>IF(G24="","",G24-8)</f>
        <v/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5">
        <v>43419</v>
      </c>
      <c r="C25" s="23" t="s">
        <v>256</v>
      </c>
      <c r="D25" s="6"/>
      <c r="E25" s="7"/>
      <c r="F25" s="7"/>
      <c r="G25" s="8"/>
      <c r="H25" s="9" t="str">
        <f>IF(G25="","",G25-8)</f>
        <v/>
      </c>
      <c r="I25" s="10"/>
      <c r="J25" s="7"/>
      <c r="K25" s="7"/>
      <c r="L25" s="8"/>
      <c r="M25" s="9" t="str">
        <f>IF(L25="","",L25-8)</f>
        <v/>
      </c>
      <c r="N25" s="10"/>
      <c r="O25" s="7"/>
      <c r="P25" s="7"/>
      <c r="Q25" s="8"/>
      <c r="R25" s="9" t="str">
        <f>IF(Q25="","",Q25-8)</f>
        <v/>
      </c>
      <c r="S25" s="6"/>
      <c r="T25" s="7"/>
      <c r="U25" s="7"/>
      <c r="V25" s="8"/>
      <c r="W25" s="9" t="str">
        <f>IF(V25="","",V25-8)</f>
        <v/>
      </c>
      <c r="X25" s="11"/>
    </row>
    <row r="26" spans="2:24">
      <c r="B26" s="5">
        <v>43420</v>
      </c>
      <c r="C26" s="23" t="s">
        <v>257</v>
      </c>
      <c r="D26" s="6"/>
      <c r="E26" s="7"/>
      <c r="F26" s="7"/>
      <c r="G26" s="8"/>
      <c r="H26" s="9" t="str">
        <f>IF(G26="","",G26-8)</f>
        <v/>
      </c>
      <c r="I26" s="10"/>
      <c r="J26" s="7"/>
      <c r="K26" s="7"/>
      <c r="L26" s="8"/>
      <c r="M26" s="9" t="str">
        <f>IF(L26="","",L26-8)</f>
        <v/>
      </c>
      <c r="N26" s="10"/>
      <c r="O26" s="7"/>
      <c r="P26" s="7"/>
      <c r="Q26" s="8"/>
      <c r="R26" s="9" t="str">
        <f>IF(Q26="","",Q26-8)</f>
        <v/>
      </c>
      <c r="S26" s="6"/>
      <c r="T26" s="7"/>
      <c r="U26" s="7"/>
      <c r="V26" s="8"/>
      <c r="W26" s="9" t="str">
        <f>IF(V26="","",V26-8)</f>
        <v/>
      </c>
      <c r="X26" s="11"/>
    </row>
    <row r="27" spans="2:24">
      <c r="B27" s="12">
        <v>43421</v>
      </c>
      <c r="C27" s="24" t="s">
        <v>258</v>
      </c>
      <c r="D27" s="13"/>
      <c r="E27" s="14"/>
      <c r="F27" s="14"/>
      <c r="G27" s="15"/>
      <c r="H27" s="16"/>
      <c r="I27" s="13"/>
      <c r="J27" s="14"/>
      <c r="K27" s="14"/>
      <c r="L27" s="15"/>
      <c r="M27" s="16"/>
      <c r="N27" s="13"/>
      <c r="O27" s="14"/>
      <c r="P27" s="14"/>
      <c r="Q27" s="15"/>
      <c r="R27" s="16"/>
      <c r="S27" s="13"/>
      <c r="T27" s="14"/>
      <c r="U27" s="14"/>
      <c r="V27" s="15"/>
      <c r="W27" s="16"/>
      <c r="X27" s="17"/>
    </row>
    <row r="28" spans="2:24">
      <c r="B28" s="12">
        <v>43422</v>
      </c>
      <c r="C28" s="24" t="s">
        <v>252</v>
      </c>
      <c r="D28" s="13"/>
      <c r="E28" s="14"/>
      <c r="F28" s="14"/>
      <c r="G28" s="15"/>
      <c r="H28" s="16"/>
      <c r="I28" s="13"/>
      <c r="J28" s="14"/>
      <c r="K28" s="14"/>
      <c r="L28" s="15"/>
      <c r="M28" s="16"/>
      <c r="N28" s="13"/>
      <c r="O28" s="14"/>
      <c r="P28" s="14"/>
      <c r="Q28" s="15"/>
      <c r="R28" s="16"/>
      <c r="S28" s="13"/>
      <c r="T28" s="14"/>
      <c r="U28" s="14"/>
      <c r="V28" s="15"/>
      <c r="W28" s="16"/>
      <c r="X28" s="17"/>
    </row>
    <row r="29" spans="2:24">
      <c r="B29" s="51" t="s">
        <v>309</v>
      </c>
      <c r="C29" s="52"/>
      <c r="D29" s="18"/>
      <c r="E29" s="19"/>
      <c r="F29" s="19"/>
      <c r="G29" s="20"/>
      <c r="H29" s="21">
        <f>SUM(H22:H28)</f>
        <v>0</v>
      </c>
      <c r="I29" s="18"/>
      <c r="J29" s="19"/>
      <c r="K29" s="19"/>
      <c r="L29" s="20"/>
      <c r="M29" s="21">
        <f>SUM(M22:M28)</f>
        <v>0</v>
      </c>
      <c r="N29" s="18"/>
      <c r="O29" s="19"/>
      <c r="P29" s="19"/>
      <c r="Q29" s="20"/>
      <c r="R29" s="21">
        <f>SUM(R22:R28)</f>
        <v>0</v>
      </c>
      <c r="S29" s="18"/>
      <c r="T29" s="19"/>
      <c r="U29" s="19"/>
      <c r="V29" s="20"/>
      <c r="W29" s="21">
        <f>SUM(W22:W28)</f>
        <v>0</v>
      </c>
      <c r="X29" s="22"/>
    </row>
    <row r="30" spans="2:24">
      <c r="B30" s="5">
        <v>43423</v>
      </c>
      <c r="C30" s="23" t="s">
        <v>260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43424</v>
      </c>
      <c r="C31" s="23" t="s">
        <v>261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5">
        <v>43425</v>
      </c>
      <c r="C32" s="23" t="s">
        <v>262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5">
        <v>43426</v>
      </c>
      <c r="C33" s="23" t="s">
        <v>263</v>
      </c>
      <c r="D33" s="6"/>
      <c r="E33" s="7"/>
      <c r="F33" s="7"/>
      <c r="G33" s="8"/>
      <c r="H33" s="9" t="str">
        <f>IF(G33="","",G33-8)</f>
        <v/>
      </c>
      <c r="I33" s="10"/>
      <c r="J33" s="7"/>
      <c r="K33" s="7"/>
      <c r="L33" s="8"/>
      <c r="M33" s="9" t="str">
        <f>IF(L33="","",L33-8)</f>
        <v/>
      </c>
      <c r="N33" s="10"/>
      <c r="O33" s="7"/>
      <c r="P33" s="7"/>
      <c r="Q33" s="8"/>
      <c r="R33" s="9" t="str">
        <f>IF(Q33="","",Q33-8)</f>
        <v/>
      </c>
      <c r="S33" s="6"/>
      <c r="T33" s="7"/>
      <c r="U33" s="7"/>
      <c r="V33" s="8"/>
      <c r="W33" s="9" t="str">
        <f>IF(V33="","",V33-8)</f>
        <v/>
      </c>
      <c r="X33" s="11"/>
    </row>
    <row r="34" spans="2:24">
      <c r="B34" s="5">
        <v>43427</v>
      </c>
      <c r="C34" s="23" t="s">
        <v>264</v>
      </c>
      <c r="D34" s="6"/>
      <c r="E34" s="7"/>
      <c r="F34" s="7"/>
      <c r="G34" s="8"/>
      <c r="H34" s="9" t="str">
        <f>IF(G34="","",G34-8)</f>
        <v/>
      </c>
      <c r="I34" s="10"/>
      <c r="J34" s="7"/>
      <c r="K34" s="7"/>
      <c r="L34" s="8"/>
      <c r="M34" s="9" t="str">
        <f>IF(L34="","",L34-8)</f>
        <v/>
      </c>
      <c r="N34" s="10"/>
      <c r="O34" s="7"/>
      <c r="P34" s="7"/>
      <c r="Q34" s="8"/>
      <c r="R34" s="9" t="str">
        <f>IF(Q34="","",Q34-8)</f>
        <v/>
      </c>
      <c r="S34" s="6"/>
      <c r="T34" s="7"/>
      <c r="U34" s="7"/>
      <c r="V34" s="8"/>
      <c r="W34" s="9" t="str">
        <f>IF(V34="","",V34-8)</f>
        <v/>
      </c>
      <c r="X34" s="11"/>
    </row>
    <row r="35" spans="2:24">
      <c r="B35" s="12">
        <v>43428</v>
      </c>
      <c r="C35" s="24" t="s">
        <v>265</v>
      </c>
      <c r="D35" s="13"/>
      <c r="E35" s="14"/>
      <c r="F35" s="14"/>
      <c r="G35" s="15"/>
      <c r="H35" s="16"/>
      <c r="I35" s="13"/>
      <c r="J35" s="14"/>
      <c r="K35" s="14"/>
      <c r="L35" s="15"/>
      <c r="M35" s="16"/>
      <c r="N35" s="13"/>
      <c r="O35" s="14"/>
      <c r="P35" s="14"/>
      <c r="Q35" s="15"/>
      <c r="R35" s="16"/>
      <c r="S35" s="13"/>
      <c r="T35" s="14"/>
      <c r="U35" s="14"/>
      <c r="V35" s="15"/>
      <c r="W35" s="16"/>
      <c r="X35" s="17"/>
    </row>
    <row r="36" spans="2:24">
      <c r="B36" s="12">
        <v>43429</v>
      </c>
      <c r="C36" s="24" t="s">
        <v>259</v>
      </c>
      <c r="D36" s="13"/>
      <c r="E36" s="14"/>
      <c r="F36" s="14"/>
      <c r="G36" s="15"/>
      <c r="H36" s="16"/>
      <c r="I36" s="13"/>
      <c r="J36" s="14"/>
      <c r="K36" s="14"/>
      <c r="L36" s="15"/>
      <c r="M36" s="16"/>
      <c r="N36" s="13"/>
      <c r="O36" s="14"/>
      <c r="P36" s="14"/>
      <c r="Q36" s="15"/>
      <c r="R36" s="16"/>
      <c r="S36" s="13"/>
      <c r="T36" s="14"/>
      <c r="U36" s="14"/>
      <c r="V36" s="15"/>
      <c r="W36" s="16"/>
      <c r="X36" s="17"/>
    </row>
    <row r="37" spans="2:24">
      <c r="B37" s="51" t="s">
        <v>309</v>
      </c>
      <c r="C37" s="52"/>
      <c r="D37" s="18"/>
      <c r="E37" s="19"/>
      <c r="F37" s="19"/>
      <c r="G37" s="20"/>
      <c r="H37" s="21">
        <f>SUM(H30:H36)</f>
        <v>0</v>
      </c>
      <c r="I37" s="18"/>
      <c r="J37" s="19"/>
      <c r="K37" s="19"/>
      <c r="L37" s="20"/>
      <c r="M37" s="21">
        <f>SUM(M30:M36)</f>
        <v>0</v>
      </c>
      <c r="N37" s="18"/>
      <c r="O37" s="19"/>
      <c r="P37" s="19"/>
      <c r="Q37" s="20"/>
      <c r="R37" s="21">
        <f>SUM(R30:R36)</f>
        <v>0</v>
      </c>
      <c r="S37" s="18"/>
      <c r="T37" s="19"/>
      <c r="U37" s="19"/>
      <c r="V37" s="20"/>
      <c r="W37" s="21">
        <f>SUM(W30:W36)</f>
        <v>0</v>
      </c>
      <c r="X37" s="22"/>
    </row>
    <row r="38" spans="2:24">
      <c r="B38" s="5">
        <v>43430</v>
      </c>
      <c r="C38" s="23" t="s">
        <v>267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43431</v>
      </c>
      <c r="C39" s="23" t="s">
        <v>268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5">
        <v>43432</v>
      </c>
      <c r="C40" s="23" t="s">
        <v>269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5">
        <v>43433</v>
      </c>
      <c r="C41" s="23" t="s">
        <v>270</v>
      </c>
      <c r="D41" s="6"/>
      <c r="E41" s="7"/>
      <c r="F41" s="7"/>
      <c r="G41" s="8"/>
      <c r="H41" s="9" t="str">
        <f>IF(G41="","",G41-8)</f>
        <v/>
      </c>
      <c r="I41" s="10"/>
      <c r="J41" s="7"/>
      <c r="K41" s="7"/>
      <c r="L41" s="8"/>
      <c r="M41" s="9" t="str">
        <f>IF(L41="","",L41-8)</f>
        <v/>
      </c>
      <c r="N41" s="10"/>
      <c r="O41" s="7"/>
      <c r="P41" s="7"/>
      <c r="Q41" s="8"/>
      <c r="R41" s="9" t="str">
        <f>IF(Q41="","",Q41-8)</f>
        <v/>
      </c>
      <c r="S41" s="6"/>
      <c r="T41" s="7"/>
      <c r="U41" s="7"/>
      <c r="V41" s="8"/>
      <c r="W41" s="9" t="str">
        <f>IF(V41="","",V41-8)</f>
        <v/>
      </c>
      <c r="X41" s="11"/>
    </row>
    <row r="42" spans="2:24">
      <c r="B42" s="5">
        <v>43434</v>
      </c>
      <c r="C42" s="23" t="s">
        <v>19</v>
      </c>
      <c r="D42" s="6"/>
      <c r="E42" s="7"/>
      <c r="F42" s="7"/>
      <c r="G42" s="8"/>
      <c r="H42" s="9" t="str">
        <f>IF(G42="","",G42-8)</f>
        <v/>
      </c>
      <c r="I42" s="10"/>
      <c r="J42" s="7"/>
      <c r="K42" s="7"/>
      <c r="L42" s="8"/>
      <c r="M42" s="9" t="str">
        <f>IF(L42="","",L42-8)</f>
        <v/>
      </c>
      <c r="N42" s="10"/>
      <c r="O42" s="7"/>
      <c r="P42" s="7"/>
      <c r="Q42" s="8"/>
      <c r="R42" s="9" t="str">
        <f>IF(Q42="","",Q42-8)</f>
        <v/>
      </c>
      <c r="S42" s="6"/>
      <c r="T42" s="7"/>
      <c r="U42" s="7"/>
      <c r="V42" s="8"/>
      <c r="W42" s="9" t="str">
        <f>IF(V42="","",V42-8)</f>
        <v/>
      </c>
      <c r="X42" s="11"/>
    </row>
    <row r="43" spans="2:24">
      <c r="B43" s="50" t="s">
        <v>401</v>
      </c>
      <c r="C43" s="50"/>
      <c r="D43" s="1"/>
      <c r="E43" s="1"/>
      <c r="F43" s="1"/>
      <c r="G43" s="1"/>
      <c r="H43" s="25">
        <f>SUM(SUMIF($B$9:$B$50,"Total hours",H$9:H$50),'2018.10'!H$44:H$44)</f>
        <v>166</v>
      </c>
      <c r="I43" s="1"/>
      <c r="J43" s="1"/>
      <c r="K43" s="1"/>
      <c r="L43" s="1"/>
      <c r="M43" s="25">
        <f>SUM(SUMIF($B$9:$B$50,"Total hours",M$9:M$50),'2018.10'!M$44:M$44)</f>
        <v>95</v>
      </c>
      <c r="N43" s="1"/>
      <c r="O43" s="1"/>
      <c r="P43" s="1"/>
      <c r="Q43" s="1"/>
      <c r="R43" s="25">
        <f>SUM(SUMIF($B$9:$B$50,"Total hours",R$9:R$50),'2018.10'!R$44:R$44)</f>
        <v>61.5</v>
      </c>
      <c r="S43" s="1"/>
      <c r="T43" s="1"/>
      <c r="U43" s="1"/>
      <c r="V43" s="1"/>
      <c r="W43" s="25">
        <f>SUM(SUMIF($B$9:$B$50,"Total hours",W$9:W$50),'2018.10'!W$44:W$44)</f>
        <v>14.5</v>
      </c>
      <c r="X43" s="26"/>
    </row>
    <row r="45" spans="2:24">
      <c r="B45" s="27" t="s">
        <v>379</v>
      </c>
      <c r="C45" s="28"/>
      <c r="D45" s="28"/>
      <c r="E45" s="29"/>
      <c r="F45" s="29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30"/>
      <c r="R45" s="30"/>
      <c r="S45" s="31"/>
    </row>
    <row r="46" spans="2:24">
      <c r="B46" s="32" t="s">
        <v>380</v>
      </c>
      <c r="C46" s="33" t="s">
        <v>381</v>
      </c>
      <c r="D46" s="34"/>
      <c r="E46" s="35"/>
      <c r="F46" s="35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6"/>
      <c r="R46" s="36"/>
      <c r="S46" s="37"/>
    </row>
    <row r="47" spans="2:24">
      <c r="B47" s="38"/>
      <c r="C47" s="34" t="s">
        <v>382</v>
      </c>
      <c r="D47" s="39"/>
      <c r="E47" s="35" t="s">
        <v>383</v>
      </c>
      <c r="F47" s="35"/>
      <c r="G47" s="34"/>
      <c r="H47" s="34"/>
      <c r="I47" s="34" t="s">
        <v>384</v>
      </c>
      <c r="J47" s="39"/>
      <c r="K47" s="35" t="s">
        <v>385</v>
      </c>
      <c r="L47" s="34"/>
      <c r="M47" s="34"/>
      <c r="N47" s="34"/>
      <c r="O47" s="34" t="s">
        <v>386</v>
      </c>
      <c r="P47" s="34"/>
      <c r="Q47" s="36" t="s">
        <v>387</v>
      </c>
      <c r="R47" s="36"/>
      <c r="S47" s="37"/>
    </row>
    <row r="48" spans="2:24">
      <c r="B48" s="38"/>
      <c r="C48" s="44" t="s">
        <v>388</v>
      </c>
      <c r="D48" s="45"/>
      <c r="E48" s="45"/>
      <c r="F48" s="45"/>
      <c r="G48" s="45"/>
      <c r="H48" s="45"/>
      <c r="I48" s="45"/>
      <c r="J48" s="45"/>
      <c r="K48" s="34"/>
      <c r="L48" s="34"/>
      <c r="M48" s="34"/>
      <c r="N48" s="46"/>
      <c r="O48" s="34"/>
      <c r="P48" s="34"/>
      <c r="Q48" s="36"/>
      <c r="R48" s="36"/>
      <c r="S48" s="37"/>
    </row>
    <row r="49" spans="2:19">
      <c r="B49" s="32" t="s">
        <v>389</v>
      </c>
      <c r="C49" s="33" t="s">
        <v>390</v>
      </c>
      <c r="D49" s="34"/>
      <c r="E49" s="35"/>
      <c r="F49" s="35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6"/>
      <c r="R49" s="36"/>
      <c r="S49" s="37"/>
    </row>
    <row r="50" spans="2:19">
      <c r="B50" s="32"/>
      <c r="C50" s="47" t="s">
        <v>391</v>
      </c>
      <c r="D50" s="34"/>
      <c r="E50" s="35"/>
      <c r="F50" s="35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6"/>
      <c r="R50" s="36"/>
      <c r="S50" s="37"/>
    </row>
    <row r="51" spans="2:19">
      <c r="B51" s="32"/>
      <c r="C51" s="48" t="s">
        <v>392</v>
      </c>
      <c r="D51" s="34"/>
      <c r="E51" s="35"/>
      <c r="F51" s="35" t="s">
        <v>393</v>
      </c>
      <c r="G51" s="34"/>
      <c r="H51" s="34"/>
      <c r="I51" s="34" t="s">
        <v>394</v>
      </c>
      <c r="J51" s="34"/>
      <c r="K51" s="34"/>
      <c r="L51" s="34" t="s">
        <v>395</v>
      </c>
      <c r="M51" s="34"/>
      <c r="N51" s="34"/>
      <c r="O51" s="34"/>
      <c r="P51" s="34"/>
      <c r="Q51" s="36"/>
      <c r="R51" s="36"/>
      <c r="S51" s="37"/>
    </row>
    <row r="52" spans="2:19">
      <c r="B52" s="38"/>
      <c r="C52" s="34"/>
      <c r="D52" s="34"/>
      <c r="E52" s="35"/>
      <c r="F52" s="35" t="s">
        <v>396</v>
      </c>
      <c r="G52" s="34"/>
      <c r="H52" s="34"/>
      <c r="I52" s="34" t="s">
        <v>397</v>
      </c>
      <c r="J52" s="34"/>
      <c r="K52" s="34"/>
      <c r="L52" s="34"/>
      <c r="M52" s="34"/>
      <c r="N52" s="34"/>
      <c r="O52" s="34"/>
      <c r="P52" s="34"/>
      <c r="Q52" s="36"/>
      <c r="R52" s="36"/>
      <c r="S52" s="37"/>
    </row>
    <row r="53" spans="2:19">
      <c r="B53" s="32" t="s">
        <v>398</v>
      </c>
      <c r="C53" s="33" t="s">
        <v>399</v>
      </c>
      <c r="D53" s="34"/>
      <c r="E53" s="35"/>
      <c r="F53" s="35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6"/>
      <c r="R53" s="36"/>
      <c r="S53" s="37"/>
    </row>
    <row r="54" spans="2:19">
      <c r="B54" s="40"/>
      <c r="C54" s="41" t="s">
        <v>400</v>
      </c>
      <c r="D54" s="41"/>
      <c r="E54" s="42"/>
      <c r="F54" s="42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3"/>
      <c r="R54" s="43"/>
      <c r="S54" s="49"/>
    </row>
  </sheetData>
  <mergeCells count="13">
    <mergeCell ref="X7:X8"/>
    <mergeCell ref="B4:X4"/>
    <mergeCell ref="B7:B8"/>
    <mergeCell ref="C7:C8"/>
    <mergeCell ref="D7:H7"/>
    <mergeCell ref="I7:M7"/>
    <mergeCell ref="N7:R7"/>
    <mergeCell ref="S7:W7"/>
    <mergeCell ref="B13:C13"/>
    <mergeCell ref="B21:C21"/>
    <mergeCell ref="B29:C29"/>
    <mergeCell ref="B37:C37"/>
    <mergeCell ref="B43:C43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X56"/>
  <sheetViews>
    <sheetView topLeftCell="A43" zoomScale="85" zoomScaleNormal="85" workbookViewId="0">
      <selection activeCell="B47" sqref="B47:S56"/>
    </sheetView>
  </sheetViews>
  <sheetFormatPr defaultRowHeight="15"/>
  <cols>
    <col min="2" max="2" width="10.710937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12">
        <v>43435</v>
      </c>
      <c r="C9" s="24" t="s">
        <v>271</v>
      </c>
      <c r="D9" s="13"/>
      <c r="E9" s="14"/>
      <c r="F9" s="14"/>
      <c r="G9" s="15"/>
      <c r="H9" s="16"/>
      <c r="I9" s="13"/>
      <c r="J9" s="14"/>
      <c r="K9" s="14"/>
      <c r="L9" s="15"/>
      <c r="M9" s="16"/>
      <c r="N9" s="13"/>
      <c r="O9" s="14"/>
      <c r="P9" s="14"/>
      <c r="Q9" s="15"/>
      <c r="R9" s="16"/>
      <c r="S9" s="13"/>
      <c r="T9" s="14"/>
      <c r="U9" s="14"/>
      <c r="V9" s="15"/>
      <c r="W9" s="16"/>
      <c r="X9" s="17"/>
    </row>
    <row r="10" spans="2:24">
      <c r="B10" s="12">
        <v>43436</v>
      </c>
      <c r="C10" s="24" t="s">
        <v>266</v>
      </c>
      <c r="D10" s="13"/>
      <c r="E10" s="14"/>
      <c r="F10" s="14"/>
      <c r="G10" s="15"/>
      <c r="H10" s="16"/>
      <c r="I10" s="13"/>
      <c r="J10" s="14"/>
      <c r="K10" s="14"/>
      <c r="L10" s="15"/>
      <c r="M10" s="16"/>
      <c r="N10" s="13"/>
      <c r="O10" s="14"/>
      <c r="P10" s="14"/>
      <c r="Q10" s="15"/>
      <c r="R10" s="16"/>
      <c r="S10" s="13"/>
      <c r="T10" s="14"/>
      <c r="U10" s="14"/>
      <c r="V10" s="15"/>
      <c r="W10" s="16"/>
      <c r="X10" s="17"/>
    </row>
    <row r="11" spans="2:24">
      <c r="B11" s="51" t="s">
        <v>309</v>
      </c>
      <c r="C11" s="52"/>
      <c r="D11" s="18"/>
      <c r="E11" s="19"/>
      <c r="F11" s="19"/>
      <c r="G11" s="20"/>
      <c r="H11" s="21">
        <f>SUM(H$9:H10,'2018.11'!H$38:H$42)</f>
        <v>0</v>
      </c>
      <c r="I11" s="18"/>
      <c r="J11" s="19"/>
      <c r="K11" s="19"/>
      <c r="L11" s="20"/>
      <c r="M11" s="21">
        <f>SUM(M$9:M10,'2018.11'!M$38:M$42)</f>
        <v>0</v>
      </c>
      <c r="N11" s="18"/>
      <c r="O11" s="19"/>
      <c r="P11" s="19"/>
      <c r="Q11" s="20"/>
      <c r="R11" s="21">
        <f>SUM(R$9:R10,'2018.11'!R$38:R$42)</f>
        <v>0</v>
      </c>
      <c r="S11" s="18"/>
      <c r="T11" s="19"/>
      <c r="U11" s="19"/>
      <c r="V11" s="20"/>
      <c r="W11" s="21">
        <f>SUM(W$9:W10,'2018.11'!W$38:W$42)</f>
        <v>0</v>
      </c>
      <c r="X11" s="22"/>
    </row>
    <row r="12" spans="2:24">
      <c r="B12" s="5">
        <v>43437</v>
      </c>
      <c r="C12" s="23" t="s">
        <v>273</v>
      </c>
      <c r="D12" s="6"/>
      <c r="E12" s="7"/>
      <c r="F12" s="7"/>
      <c r="G12" s="8"/>
      <c r="H12" s="9" t="str">
        <f>IF(G12="","",G12-8)</f>
        <v/>
      </c>
      <c r="I12" s="10"/>
      <c r="J12" s="7"/>
      <c r="K12" s="7"/>
      <c r="L12" s="8"/>
      <c r="M12" s="9" t="str">
        <f>IF(L12="","",L12-8)</f>
        <v/>
      </c>
      <c r="N12" s="10"/>
      <c r="O12" s="7"/>
      <c r="P12" s="7"/>
      <c r="Q12" s="8"/>
      <c r="R12" s="9" t="str">
        <f>IF(Q12="","",Q12-8)</f>
        <v/>
      </c>
      <c r="S12" s="6"/>
      <c r="T12" s="7"/>
      <c r="U12" s="7"/>
      <c r="V12" s="8"/>
      <c r="W12" s="9" t="str">
        <f>IF(V12="","",V12-8)</f>
        <v/>
      </c>
      <c r="X12" s="11"/>
    </row>
    <row r="13" spans="2:24">
      <c r="B13" s="5">
        <v>43438</v>
      </c>
      <c r="C13" s="23" t="s">
        <v>274</v>
      </c>
      <c r="D13" s="6"/>
      <c r="E13" s="7"/>
      <c r="F13" s="7"/>
      <c r="G13" s="8"/>
      <c r="H13" s="9" t="str">
        <f>IF(G13="","",G13-8)</f>
        <v/>
      </c>
      <c r="I13" s="10"/>
      <c r="J13" s="7"/>
      <c r="K13" s="7"/>
      <c r="L13" s="8"/>
      <c r="M13" s="9" t="str">
        <f>IF(L13="","",L13-8)</f>
        <v/>
      </c>
      <c r="N13" s="10"/>
      <c r="O13" s="7"/>
      <c r="P13" s="7"/>
      <c r="Q13" s="8"/>
      <c r="R13" s="9" t="str">
        <f>IF(Q13="","",Q13-8)</f>
        <v/>
      </c>
      <c r="S13" s="6"/>
      <c r="T13" s="7"/>
      <c r="U13" s="7"/>
      <c r="V13" s="8"/>
      <c r="W13" s="9" t="str">
        <f>IF(V13="","",V13-8)</f>
        <v/>
      </c>
      <c r="X13" s="11"/>
    </row>
    <row r="14" spans="2:24">
      <c r="B14" s="5">
        <v>43439</v>
      </c>
      <c r="C14" s="23" t="s">
        <v>275</v>
      </c>
      <c r="D14" s="6"/>
      <c r="E14" s="7"/>
      <c r="F14" s="7"/>
      <c r="G14" s="8"/>
      <c r="H14" s="9" t="str">
        <f>IF(G14="","",G14-8)</f>
        <v/>
      </c>
      <c r="I14" s="10"/>
      <c r="J14" s="7"/>
      <c r="K14" s="7"/>
      <c r="L14" s="8"/>
      <c r="M14" s="9" t="str">
        <f>IF(L14="","",L14-8)</f>
        <v/>
      </c>
      <c r="N14" s="10"/>
      <c r="O14" s="7"/>
      <c r="P14" s="7"/>
      <c r="Q14" s="8"/>
      <c r="R14" s="9" t="str">
        <f>IF(Q14="","",Q14-8)</f>
        <v/>
      </c>
      <c r="S14" s="6"/>
      <c r="T14" s="7"/>
      <c r="U14" s="7"/>
      <c r="V14" s="8"/>
      <c r="W14" s="9" t="str">
        <f>IF(V14="","",V14-8)</f>
        <v/>
      </c>
      <c r="X14" s="11"/>
    </row>
    <row r="15" spans="2:24">
      <c r="B15" s="5">
        <v>43440</v>
      </c>
      <c r="C15" s="23" t="s">
        <v>10</v>
      </c>
      <c r="D15" s="6"/>
      <c r="E15" s="7"/>
      <c r="F15" s="7"/>
      <c r="G15" s="8"/>
      <c r="H15" s="9" t="str">
        <f>IF(G15="","",G15-8)</f>
        <v/>
      </c>
      <c r="I15" s="10"/>
      <c r="J15" s="7"/>
      <c r="K15" s="7"/>
      <c r="L15" s="8"/>
      <c r="M15" s="9" t="str">
        <f>IF(L15="","",L15-8)</f>
        <v/>
      </c>
      <c r="N15" s="10"/>
      <c r="O15" s="7"/>
      <c r="P15" s="7"/>
      <c r="Q15" s="8"/>
      <c r="R15" s="9" t="str">
        <f>IF(Q15="","",Q15-8)</f>
        <v/>
      </c>
      <c r="S15" s="6"/>
      <c r="T15" s="7"/>
      <c r="U15" s="7"/>
      <c r="V15" s="8"/>
      <c r="W15" s="9" t="str">
        <f>IF(V15="","",V15-8)</f>
        <v/>
      </c>
      <c r="X15" s="11"/>
    </row>
    <row r="16" spans="2:24">
      <c r="B16" s="5">
        <v>43441</v>
      </c>
      <c r="C16" s="23" t="s">
        <v>276</v>
      </c>
      <c r="D16" s="6"/>
      <c r="E16" s="7"/>
      <c r="F16" s="7"/>
      <c r="G16" s="8"/>
      <c r="H16" s="9" t="str">
        <f>IF(G16="","",G16-8)</f>
        <v/>
      </c>
      <c r="I16" s="10"/>
      <c r="J16" s="7"/>
      <c r="K16" s="7"/>
      <c r="L16" s="8"/>
      <c r="M16" s="9" t="str">
        <f>IF(L16="","",L16-8)</f>
        <v/>
      </c>
      <c r="N16" s="10"/>
      <c r="O16" s="7"/>
      <c r="P16" s="7"/>
      <c r="Q16" s="8"/>
      <c r="R16" s="9" t="str">
        <f>IF(Q16="","",Q16-8)</f>
        <v/>
      </c>
      <c r="S16" s="6"/>
      <c r="T16" s="7"/>
      <c r="U16" s="7"/>
      <c r="V16" s="8"/>
      <c r="W16" s="9" t="str">
        <f>IF(V16="","",V16-8)</f>
        <v/>
      </c>
      <c r="X16" s="11"/>
    </row>
    <row r="17" spans="2:24">
      <c r="B17" s="12">
        <v>43442</v>
      </c>
      <c r="C17" s="24" t="s">
        <v>277</v>
      </c>
      <c r="D17" s="13"/>
      <c r="E17" s="14"/>
      <c r="F17" s="14"/>
      <c r="G17" s="15"/>
      <c r="H17" s="16"/>
      <c r="I17" s="13"/>
      <c r="J17" s="14"/>
      <c r="K17" s="14"/>
      <c r="L17" s="15"/>
      <c r="M17" s="16"/>
      <c r="N17" s="13"/>
      <c r="O17" s="14"/>
      <c r="P17" s="14"/>
      <c r="Q17" s="15"/>
      <c r="R17" s="16"/>
      <c r="S17" s="13"/>
      <c r="T17" s="14"/>
      <c r="U17" s="14"/>
      <c r="V17" s="15"/>
      <c r="W17" s="16"/>
      <c r="X17" s="17"/>
    </row>
    <row r="18" spans="2:24">
      <c r="B18" s="12">
        <v>43443</v>
      </c>
      <c r="C18" s="24" t="s">
        <v>272</v>
      </c>
      <c r="D18" s="13"/>
      <c r="E18" s="14"/>
      <c r="F18" s="14"/>
      <c r="G18" s="15"/>
      <c r="H18" s="16"/>
      <c r="I18" s="13"/>
      <c r="J18" s="14"/>
      <c r="K18" s="14"/>
      <c r="L18" s="15"/>
      <c r="M18" s="16"/>
      <c r="N18" s="13"/>
      <c r="O18" s="14"/>
      <c r="P18" s="14"/>
      <c r="Q18" s="15"/>
      <c r="R18" s="16"/>
      <c r="S18" s="13"/>
      <c r="T18" s="14"/>
      <c r="U18" s="14"/>
      <c r="V18" s="15"/>
      <c r="W18" s="16"/>
      <c r="X18" s="17"/>
    </row>
    <row r="19" spans="2:24">
      <c r="B19" s="51" t="s">
        <v>309</v>
      </c>
      <c r="C19" s="52"/>
      <c r="D19" s="18"/>
      <c r="E19" s="19"/>
      <c r="F19" s="19"/>
      <c r="G19" s="20"/>
      <c r="H19" s="21">
        <f>SUM(H12:H18)</f>
        <v>0</v>
      </c>
      <c r="I19" s="18"/>
      <c r="J19" s="19"/>
      <c r="K19" s="19"/>
      <c r="L19" s="20"/>
      <c r="M19" s="21">
        <f>SUM(M12:M18)</f>
        <v>0</v>
      </c>
      <c r="N19" s="18"/>
      <c r="O19" s="19"/>
      <c r="P19" s="19"/>
      <c r="Q19" s="20"/>
      <c r="R19" s="21">
        <f>SUM(R12:R18)</f>
        <v>0</v>
      </c>
      <c r="S19" s="18"/>
      <c r="T19" s="19"/>
      <c r="U19" s="19"/>
      <c r="V19" s="20"/>
      <c r="W19" s="21">
        <f>SUM(W12:W18)</f>
        <v>0</v>
      </c>
      <c r="X19" s="22"/>
    </row>
    <row r="20" spans="2:24">
      <c r="B20" s="5">
        <v>43444</v>
      </c>
      <c r="C20" s="23" t="s">
        <v>279</v>
      </c>
      <c r="D20" s="6"/>
      <c r="E20" s="7"/>
      <c r="F20" s="7"/>
      <c r="G20" s="8"/>
      <c r="H20" s="9" t="str">
        <f>IF(G20="","",G20-8)</f>
        <v/>
      </c>
      <c r="I20" s="10"/>
      <c r="J20" s="7"/>
      <c r="K20" s="7"/>
      <c r="L20" s="8"/>
      <c r="M20" s="9" t="str">
        <f>IF(L20="","",L20-8)</f>
        <v/>
      </c>
      <c r="N20" s="10"/>
      <c r="O20" s="7"/>
      <c r="P20" s="7"/>
      <c r="Q20" s="8"/>
      <c r="R20" s="9" t="str">
        <f>IF(Q20="","",Q20-8)</f>
        <v/>
      </c>
      <c r="S20" s="6"/>
      <c r="T20" s="7"/>
      <c r="U20" s="7"/>
      <c r="V20" s="8"/>
      <c r="W20" s="9" t="str">
        <f>IF(V20="","",V20-8)</f>
        <v/>
      </c>
      <c r="X20" s="11"/>
    </row>
    <row r="21" spans="2:24">
      <c r="B21" s="5">
        <v>43445</v>
      </c>
      <c r="C21" s="23" t="s">
        <v>280</v>
      </c>
      <c r="D21" s="6"/>
      <c r="E21" s="7"/>
      <c r="F21" s="7"/>
      <c r="G21" s="8"/>
      <c r="H21" s="9" t="str">
        <f>IF(G21="","",G21-8)</f>
        <v/>
      </c>
      <c r="I21" s="10"/>
      <c r="J21" s="7"/>
      <c r="K21" s="7"/>
      <c r="L21" s="8"/>
      <c r="M21" s="9" t="str">
        <f>IF(L21="","",L21-8)</f>
        <v/>
      </c>
      <c r="N21" s="10"/>
      <c r="O21" s="7"/>
      <c r="P21" s="7"/>
      <c r="Q21" s="8"/>
      <c r="R21" s="9" t="str">
        <f>IF(Q21="","",Q21-8)</f>
        <v/>
      </c>
      <c r="S21" s="6"/>
      <c r="T21" s="7"/>
      <c r="U21" s="7"/>
      <c r="V21" s="8"/>
      <c r="W21" s="9" t="str">
        <f>IF(V21="","",V21-8)</f>
        <v/>
      </c>
      <c r="X21" s="11"/>
    </row>
    <row r="22" spans="2:24">
      <c r="B22" s="5">
        <v>43446</v>
      </c>
      <c r="C22" s="23" t="s">
        <v>281</v>
      </c>
      <c r="D22" s="6"/>
      <c r="E22" s="7"/>
      <c r="F22" s="7"/>
      <c r="G22" s="8"/>
      <c r="H22" s="9" t="str">
        <f>IF(G22="","",G22-8)</f>
        <v/>
      </c>
      <c r="I22" s="10"/>
      <c r="J22" s="7"/>
      <c r="K22" s="7"/>
      <c r="L22" s="8"/>
      <c r="M22" s="9" t="str">
        <f>IF(L22="","",L22-8)</f>
        <v/>
      </c>
      <c r="N22" s="10"/>
      <c r="O22" s="7"/>
      <c r="P22" s="7"/>
      <c r="Q22" s="8"/>
      <c r="R22" s="9" t="str">
        <f>IF(Q22="","",Q22-8)</f>
        <v/>
      </c>
      <c r="S22" s="6"/>
      <c r="T22" s="7"/>
      <c r="U22" s="7"/>
      <c r="V22" s="8"/>
      <c r="W22" s="9" t="str">
        <f>IF(V22="","",V22-8)</f>
        <v/>
      </c>
      <c r="X22" s="11"/>
    </row>
    <row r="23" spans="2:24">
      <c r="B23" s="5">
        <v>43447</v>
      </c>
      <c r="C23" s="23" t="s">
        <v>282</v>
      </c>
      <c r="D23" s="6"/>
      <c r="E23" s="7"/>
      <c r="F23" s="7"/>
      <c r="G23" s="8"/>
      <c r="H23" s="9" t="str">
        <f>IF(G23="","",G23-8)</f>
        <v/>
      </c>
      <c r="I23" s="10"/>
      <c r="J23" s="7"/>
      <c r="K23" s="7"/>
      <c r="L23" s="8"/>
      <c r="M23" s="9" t="str">
        <f>IF(L23="","",L23-8)</f>
        <v/>
      </c>
      <c r="N23" s="10"/>
      <c r="O23" s="7"/>
      <c r="P23" s="7"/>
      <c r="Q23" s="8"/>
      <c r="R23" s="9" t="str">
        <f>IF(Q23="","",Q23-8)</f>
        <v/>
      </c>
      <c r="S23" s="6"/>
      <c r="T23" s="7"/>
      <c r="U23" s="7"/>
      <c r="V23" s="8"/>
      <c r="W23" s="9" t="str">
        <f>IF(V23="","",V23-8)</f>
        <v/>
      </c>
      <c r="X23" s="11"/>
    </row>
    <row r="24" spans="2:24">
      <c r="B24" s="5">
        <v>43448</v>
      </c>
      <c r="C24" s="23" t="s">
        <v>283</v>
      </c>
      <c r="D24" s="6"/>
      <c r="E24" s="7"/>
      <c r="F24" s="7"/>
      <c r="G24" s="8"/>
      <c r="H24" s="9" t="str">
        <f>IF(G24="","",G24-8)</f>
        <v/>
      </c>
      <c r="I24" s="10"/>
      <c r="J24" s="7"/>
      <c r="K24" s="7"/>
      <c r="L24" s="8"/>
      <c r="M24" s="9" t="str">
        <f>IF(L24="","",L24-8)</f>
        <v/>
      </c>
      <c r="N24" s="10"/>
      <c r="O24" s="7"/>
      <c r="P24" s="7"/>
      <c r="Q24" s="8"/>
      <c r="R24" s="9" t="str">
        <f>IF(Q24="","",Q24-8)</f>
        <v/>
      </c>
      <c r="S24" s="6"/>
      <c r="T24" s="7"/>
      <c r="U24" s="7"/>
      <c r="V24" s="8"/>
      <c r="W24" s="9" t="str">
        <f>IF(V24="","",V24-8)</f>
        <v/>
      </c>
      <c r="X24" s="11"/>
    </row>
    <row r="25" spans="2:24">
      <c r="B25" s="12">
        <v>43449</v>
      </c>
      <c r="C25" s="24" t="s">
        <v>284</v>
      </c>
      <c r="D25" s="13"/>
      <c r="E25" s="14"/>
      <c r="F25" s="14"/>
      <c r="G25" s="15"/>
      <c r="H25" s="16"/>
      <c r="I25" s="13"/>
      <c r="J25" s="14"/>
      <c r="K25" s="14"/>
      <c r="L25" s="15"/>
      <c r="M25" s="16"/>
      <c r="N25" s="13"/>
      <c r="O25" s="14"/>
      <c r="P25" s="14"/>
      <c r="Q25" s="15"/>
      <c r="R25" s="16"/>
      <c r="S25" s="13"/>
      <c r="T25" s="14"/>
      <c r="U25" s="14"/>
      <c r="V25" s="15"/>
      <c r="W25" s="16"/>
      <c r="X25" s="17"/>
    </row>
    <row r="26" spans="2:24">
      <c r="B26" s="12">
        <v>43450</v>
      </c>
      <c r="C26" s="24" t="s">
        <v>278</v>
      </c>
      <c r="D26" s="13"/>
      <c r="E26" s="14"/>
      <c r="F26" s="14"/>
      <c r="G26" s="15"/>
      <c r="H26" s="16"/>
      <c r="I26" s="13"/>
      <c r="J26" s="14"/>
      <c r="K26" s="14"/>
      <c r="L26" s="15"/>
      <c r="M26" s="16"/>
      <c r="N26" s="13"/>
      <c r="O26" s="14"/>
      <c r="P26" s="14"/>
      <c r="Q26" s="15"/>
      <c r="R26" s="16"/>
      <c r="S26" s="13"/>
      <c r="T26" s="14"/>
      <c r="U26" s="14"/>
      <c r="V26" s="15"/>
      <c r="W26" s="16"/>
      <c r="X26" s="17"/>
    </row>
    <row r="27" spans="2:24">
      <c r="B27" s="51" t="s">
        <v>309</v>
      </c>
      <c r="C27" s="52"/>
      <c r="D27" s="18"/>
      <c r="E27" s="19"/>
      <c r="F27" s="19"/>
      <c r="G27" s="20"/>
      <c r="H27" s="21">
        <f>SUM(H20:H26)</f>
        <v>0</v>
      </c>
      <c r="I27" s="18"/>
      <c r="J27" s="19"/>
      <c r="K27" s="19"/>
      <c r="L27" s="20"/>
      <c r="M27" s="21">
        <f>SUM(M20:M26)</f>
        <v>0</v>
      </c>
      <c r="N27" s="18"/>
      <c r="O27" s="19"/>
      <c r="P27" s="19"/>
      <c r="Q27" s="20"/>
      <c r="R27" s="21">
        <f>SUM(R20:R26)</f>
        <v>0</v>
      </c>
      <c r="S27" s="18"/>
      <c r="T27" s="19"/>
      <c r="U27" s="19"/>
      <c r="V27" s="20"/>
      <c r="W27" s="21">
        <f>SUM(W20:W26)</f>
        <v>0</v>
      </c>
      <c r="X27" s="22"/>
    </row>
    <row r="28" spans="2:24">
      <c r="B28" s="5">
        <v>43451</v>
      </c>
      <c r="C28" s="23" t="s">
        <v>286</v>
      </c>
      <c r="D28" s="6"/>
      <c r="E28" s="7"/>
      <c r="F28" s="7"/>
      <c r="G28" s="8"/>
      <c r="H28" s="9" t="str">
        <f>IF(G28="","",G28-8)</f>
        <v/>
      </c>
      <c r="I28" s="10"/>
      <c r="J28" s="7"/>
      <c r="K28" s="7"/>
      <c r="L28" s="8"/>
      <c r="M28" s="9" t="str">
        <f>IF(L28="","",L28-8)</f>
        <v/>
      </c>
      <c r="N28" s="10"/>
      <c r="O28" s="7"/>
      <c r="P28" s="7"/>
      <c r="Q28" s="8"/>
      <c r="R28" s="9" t="str">
        <f>IF(Q28="","",Q28-8)</f>
        <v/>
      </c>
      <c r="S28" s="6"/>
      <c r="T28" s="7"/>
      <c r="U28" s="7"/>
      <c r="V28" s="8"/>
      <c r="W28" s="9" t="str">
        <f>IF(V28="","",V28-8)</f>
        <v/>
      </c>
      <c r="X28" s="11"/>
    </row>
    <row r="29" spans="2:24">
      <c r="B29" s="5">
        <v>43452</v>
      </c>
      <c r="C29" s="23" t="s">
        <v>287</v>
      </c>
      <c r="D29" s="6"/>
      <c r="E29" s="7"/>
      <c r="F29" s="7"/>
      <c r="G29" s="8"/>
      <c r="H29" s="9" t="str">
        <f>IF(G29="","",G29-8)</f>
        <v/>
      </c>
      <c r="I29" s="10"/>
      <c r="J29" s="7"/>
      <c r="K29" s="7"/>
      <c r="L29" s="8"/>
      <c r="M29" s="9" t="str">
        <f>IF(L29="","",L29-8)</f>
        <v/>
      </c>
      <c r="N29" s="10"/>
      <c r="O29" s="7"/>
      <c r="P29" s="7"/>
      <c r="Q29" s="8"/>
      <c r="R29" s="9" t="str">
        <f>IF(Q29="","",Q29-8)</f>
        <v/>
      </c>
      <c r="S29" s="6"/>
      <c r="T29" s="7"/>
      <c r="U29" s="7"/>
      <c r="V29" s="8"/>
      <c r="W29" s="9" t="str">
        <f>IF(V29="","",V29-8)</f>
        <v/>
      </c>
      <c r="X29" s="11"/>
    </row>
    <row r="30" spans="2:24">
      <c r="B30" s="5">
        <v>43453</v>
      </c>
      <c r="C30" s="23" t="s">
        <v>288</v>
      </c>
      <c r="D30" s="6"/>
      <c r="E30" s="7"/>
      <c r="F30" s="7"/>
      <c r="G30" s="8"/>
      <c r="H30" s="9" t="str">
        <f>IF(G30="","",G30-8)</f>
        <v/>
      </c>
      <c r="I30" s="10"/>
      <c r="J30" s="7"/>
      <c r="K30" s="7"/>
      <c r="L30" s="8"/>
      <c r="M30" s="9" t="str">
        <f>IF(L30="","",L30-8)</f>
        <v/>
      </c>
      <c r="N30" s="10"/>
      <c r="O30" s="7"/>
      <c r="P30" s="7"/>
      <c r="Q30" s="8"/>
      <c r="R30" s="9" t="str">
        <f>IF(Q30="","",Q30-8)</f>
        <v/>
      </c>
      <c r="S30" s="6"/>
      <c r="T30" s="7"/>
      <c r="U30" s="7"/>
      <c r="V30" s="8"/>
      <c r="W30" s="9" t="str">
        <f>IF(V30="","",V30-8)</f>
        <v/>
      </c>
      <c r="X30" s="11"/>
    </row>
    <row r="31" spans="2:24">
      <c r="B31" s="5">
        <v>43454</v>
      </c>
      <c r="C31" s="23" t="s">
        <v>289</v>
      </c>
      <c r="D31" s="6"/>
      <c r="E31" s="7"/>
      <c r="F31" s="7"/>
      <c r="G31" s="8"/>
      <c r="H31" s="9" t="str">
        <f>IF(G31="","",G31-8)</f>
        <v/>
      </c>
      <c r="I31" s="10"/>
      <c r="J31" s="7"/>
      <c r="K31" s="7"/>
      <c r="L31" s="8"/>
      <c r="M31" s="9" t="str">
        <f>IF(L31="","",L31-8)</f>
        <v/>
      </c>
      <c r="N31" s="10"/>
      <c r="O31" s="7"/>
      <c r="P31" s="7"/>
      <c r="Q31" s="8"/>
      <c r="R31" s="9" t="str">
        <f>IF(Q31="","",Q31-8)</f>
        <v/>
      </c>
      <c r="S31" s="6"/>
      <c r="T31" s="7"/>
      <c r="U31" s="7"/>
      <c r="V31" s="8"/>
      <c r="W31" s="9" t="str">
        <f>IF(V31="","",V31-8)</f>
        <v/>
      </c>
      <c r="X31" s="11"/>
    </row>
    <row r="32" spans="2:24">
      <c r="B32" s="5">
        <v>43455</v>
      </c>
      <c r="C32" s="23" t="s">
        <v>290</v>
      </c>
      <c r="D32" s="6"/>
      <c r="E32" s="7"/>
      <c r="F32" s="7"/>
      <c r="G32" s="8"/>
      <c r="H32" s="9" t="str">
        <f>IF(G32="","",G32-8)</f>
        <v/>
      </c>
      <c r="I32" s="10"/>
      <c r="J32" s="7"/>
      <c r="K32" s="7"/>
      <c r="L32" s="8"/>
      <c r="M32" s="9" t="str">
        <f>IF(L32="","",L32-8)</f>
        <v/>
      </c>
      <c r="N32" s="10"/>
      <c r="O32" s="7"/>
      <c r="P32" s="7"/>
      <c r="Q32" s="8"/>
      <c r="R32" s="9" t="str">
        <f>IF(Q32="","",Q32-8)</f>
        <v/>
      </c>
      <c r="S32" s="6"/>
      <c r="T32" s="7"/>
      <c r="U32" s="7"/>
      <c r="V32" s="8"/>
      <c r="W32" s="9" t="str">
        <f>IF(V32="","",V32-8)</f>
        <v/>
      </c>
      <c r="X32" s="11"/>
    </row>
    <row r="33" spans="2:24">
      <c r="B33" s="12">
        <v>43456</v>
      </c>
      <c r="C33" s="24" t="s">
        <v>291</v>
      </c>
      <c r="D33" s="13"/>
      <c r="E33" s="14"/>
      <c r="F33" s="14"/>
      <c r="G33" s="15"/>
      <c r="H33" s="16"/>
      <c r="I33" s="13"/>
      <c r="J33" s="14"/>
      <c r="K33" s="14"/>
      <c r="L33" s="15"/>
      <c r="M33" s="16"/>
      <c r="N33" s="13"/>
      <c r="O33" s="14"/>
      <c r="P33" s="14"/>
      <c r="Q33" s="15"/>
      <c r="R33" s="16"/>
      <c r="S33" s="13"/>
      <c r="T33" s="14"/>
      <c r="U33" s="14"/>
      <c r="V33" s="15"/>
      <c r="W33" s="16"/>
      <c r="X33" s="17"/>
    </row>
    <row r="34" spans="2:24">
      <c r="B34" s="12">
        <v>43457</v>
      </c>
      <c r="C34" s="24" t="s">
        <v>285</v>
      </c>
      <c r="D34" s="13"/>
      <c r="E34" s="14"/>
      <c r="F34" s="14"/>
      <c r="G34" s="15"/>
      <c r="H34" s="16"/>
      <c r="I34" s="13"/>
      <c r="J34" s="14"/>
      <c r="K34" s="14"/>
      <c r="L34" s="15"/>
      <c r="M34" s="16"/>
      <c r="N34" s="13"/>
      <c r="O34" s="14"/>
      <c r="P34" s="14"/>
      <c r="Q34" s="15"/>
      <c r="R34" s="16"/>
      <c r="S34" s="13"/>
      <c r="T34" s="14"/>
      <c r="U34" s="14"/>
      <c r="V34" s="15"/>
      <c r="W34" s="16"/>
      <c r="X34" s="17"/>
    </row>
    <row r="35" spans="2:24">
      <c r="B35" s="51" t="s">
        <v>309</v>
      </c>
      <c r="C35" s="52"/>
      <c r="D35" s="18"/>
      <c r="E35" s="19"/>
      <c r="F35" s="19"/>
      <c r="G35" s="20"/>
      <c r="H35" s="21">
        <f>SUM(H28:H34)</f>
        <v>0</v>
      </c>
      <c r="I35" s="18"/>
      <c r="J35" s="19"/>
      <c r="K35" s="19"/>
      <c r="L35" s="20"/>
      <c r="M35" s="21">
        <f>SUM(M28:M34)</f>
        <v>0</v>
      </c>
      <c r="N35" s="18"/>
      <c r="O35" s="19"/>
      <c r="P35" s="19"/>
      <c r="Q35" s="20"/>
      <c r="R35" s="21">
        <f>SUM(R28:R34)</f>
        <v>0</v>
      </c>
      <c r="S35" s="18"/>
      <c r="T35" s="19"/>
      <c r="U35" s="19"/>
      <c r="V35" s="20"/>
      <c r="W35" s="21">
        <f>SUM(W28:W34)</f>
        <v>0</v>
      </c>
      <c r="X35" s="22"/>
    </row>
    <row r="36" spans="2:24">
      <c r="B36" s="5">
        <v>43458</v>
      </c>
      <c r="C36" s="23" t="s">
        <v>292</v>
      </c>
      <c r="D36" s="6"/>
      <c r="E36" s="7"/>
      <c r="F36" s="7"/>
      <c r="G36" s="8"/>
      <c r="H36" s="9" t="str">
        <f>IF(G36="","",G36-8)</f>
        <v/>
      </c>
      <c r="I36" s="10"/>
      <c r="J36" s="7"/>
      <c r="K36" s="7"/>
      <c r="L36" s="8"/>
      <c r="M36" s="9" t="str">
        <f>IF(L36="","",L36-8)</f>
        <v/>
      </c>
      <c r="N36" s="10"/>
      <c r="O36" s="7"/>
      <c r="P36" s="7"/>
      <c r="Q36" s="8"/>
      <c r="R36" s="9" t="str">
        <f>IF(Q36="","",Q36-8)</f>
        <v/>
      </c>
      <c r="S36" s="6"/>
      <c r="T36" s="7"/>
      <c r="U36" s="7"/>
      <c r="V36" s="8"/>
      <c r="W36" s="9" t="str">
        <f>IF(V36="","",V36-8)</f>
        <v/>
      </c>
      <c r="X36" s="11"/>
    </row>
    <row r="37" spans="2:24">
      <c r="B37" s="5">
        <v>43459</v>
      </c>
      <c r="C37" s="23" t="s">
        <v>293</v>
      </c>
      <c r="D37" s="6"/>
      <c r="E37" s="7"/>
      <c r="F37" s="7"/>
      <c r="G37" s="8"/>
      <c r="H37" s="9" t="str">
        <f>IF(G37="","",G37-8)</f>
        <v/>
      </c>
      <c r="I37" s="10"/>
      <c r="J37" s="7"/>
      <c r="K37" s="7"/>
      <c r="L37" s="8"/>
      <c r="M37" s="9" t="str">
        <f>IF(L37="","",L37-8)</f>
        <v/>
      </c>
      <c r="N37" s="10"/>
      <c r="O37" s="7"/>
      <c r="P37" s="7"/>
      <c r="Q37" s="8"/>
      <c r="R37" s="9" t="str">
        <f>IF(Q37="","",Q37-8)</f>
        <v/>
      </c>
      <c r="S37" s="6"/>
      <c r="T37" s="7"/>
      <c r="U37" s="7"/>
      <c r="V37" s="8"/>
      <c r="W37" s="9" t="str">
        <f>IF(V37="","",V37-8)</f>
        <v/>
      </c>
      <c r="X37" s="11"/>
    </row>
    <row r="38" spans="2:24">
      <c r="B38" s="5">
        <v>43460</v>
      </c>
      <c r="C38" s="23" t="s">
        <v>294</v>
      </c>
      <c r="D38" s="6"/>
      <c r="E38" s="7"/>
      <c r="F38" s="7"/>
      <c r="G38" s="8"/>
      <c r="H38" s="9" t="str">
        <f>IF(G38="","",G38-8)</f>
        <v/>
      </c>
      <c r="I38" s="10"/>
      <c r="J38" s="7"/>
      <c r="K38" s="7"/>
      <c r="L38" s="8"/>
      <c r="M38" s="9" t="str">
        <f>IF(L38="","",L38-8)</f>
        <v/>
      </c>
      <c r="N38" s="10"/>
      <c r="O38" s="7"/>
      <c r="P38" s="7"/>
      <c r="Q38" s="8"/>
      <c r="R38" s="9" t="str">
        <f>IF(Q38="","",Q38-8)</f>
        <v/>
      </c>
      <c r="S38" s="6"/>
      <c r="T38" s="7"/>
      <c r="U38" s="7"/>
      <c r="V38" s="8"/>
      <c r="W38" s="9" t="str">
        <f>IF(V38="","",V38-8)</f>
        <v/>
      </c>
      <c r="X38" s="11"/>
    </row>
    <row r="39" spans="2:24">
      <c r="B39" s="5">
        <v>43461</v>
      </c>
      <c r="C39" s="23" t="s">
        <v>295</v>
      </c>
      <c r="D39" s="6"/>
      <c r="E39" s="7"/>
      <c r="F39" s="7"/>
      <c r="G39" s="8"/>
      <c r="H39" s="9" t="str">
        <f>IF(G39="","",G39-8)</f>
        <v/>
      </c>
      <c r="I39" s="10"/>
      <c r="J39" s="7"/>
      <c r="K39" s="7"/>
      <c r="L39" s="8"/>
      <c r="M39" s="9" t="str">
        <f>IF(L39="","",L39-8)</f>
        <v/>
      </c>
      <c r="N39" s="10"/>
      <c r="O39" s="7"/>
      <c r="P39" s="7"/>
      <c r="Q39" s="8"/>
      <c r="R39" s="9" t="str">
        <f>IF(Q39="","",Q39-8)</f>
        <v/>
      </c>
      <c r="S39" s="6"/>
      <c r="T39" s="7"/>
      <c r="U39" s="7"/>
      <c r="V39" s="8"/>
      <c r="W39" s="9" t="str">
        <f>IF(V39="","",V39-8)</f>
        <v/>
      </c>
      <c r="X39" s="11"/>
    </row>
    <row r="40" spans="2:24">
      <c r="B40" s="5">
        <v>43462</v>
      </c>
      <c r="C40" s="23" t="s">
        <v>296</v>
      </c>
      <c r="D40" s="6"/>
      <c r="E40" s="7"/>
      <c r="F40" s="7"/>
      <c r="G40" s="8"/>
      <c r="H40" s="9" t="str">
        <f>IF(G40="","",G40-8)</f>
        <v/>
      </c>
      <c r="I40" s="10"/>
      <c r="J40" s="7"/>
      <c r="K40" s="7"/>
      <c r="L40" s="8"/>
      <c r="M40" s="9" t="str">
        <f>IF(L40="","",L40-8)</f>
        <v/>
      </c>
      <c r="N40" s="10"/>
      <c r="O40" s="7"/>
      <c r="P40" s="7"/>
      <c r="Q40" s="8"/>
      <c r="R40" s="9" t="str">
        <f>IF(Q40="","",Q40-8)</f>
        <v/>
      </c>
      <c r="S40" s="6"/>
      <c r="T40" s="7"/>
      <c r="U40" s="7"/>
      <c r="V40" s="8"/>
      <c r="W40" s="9" t="str">
        <f>IF(V40="","",V40-8)</f>
        <v/>
      </c>
      <c r="X40" s="11"/>
    </row>
    <row r="41" spans="2:24">
      <c r="B41" s="12">
        <v>43463</v>
      </c>
      <c r="C41" s="24" t="s">
        <v>297</v>
      </c>
      <c r="D41" s="13"/>
      <c r="E41" s="14"/>
      <c r="F41" s="14"/>
      <c r="G41" s="15"/>
      <c r="H41" s="16"/>
      <c r="I41" s="13"/>
      <c r="J41" s="14"/>
      <c r="K41" s="14"/>
      <c r="L41" s="15"/>
      <c r="M41" s="16"/>
      <c r="N41" s="13"/>
      <c r="O41" s="14"/>
      <c r="P41" s="14"/>
      <c r="Q41" s="15"/>
      <c r="R41" s="16"/>
      <c r="S41" s="13"/>
      <c r="T41" s="14"/>
      <c r="U41" s="14"/>
      <c r="V41" s="15"/>
      <c r="W41" s="16"/>
      <c r="X41" s="17"/>
    </row>
    <row r="42" spans="2:24">
      <c r="B42" s="12">
        <v>43464</v>
      </c>
      <c r="C42" s="24" t="s">
        <v>310</v>
      </c>
      <c r="D42" s="13"/>
      <c r="E42" s="14"/>
      <c r="F42" s="14"/>
      <c r="G42" s="15"/>
      <c r="H42" s="16"/>
      <c r="I42" s="13"/>
      <c r="J42" s="14"/>
      <c r="K42" s="14"/>
      <c r="L42" s="15"/>
      <c r="M42" s="16"/>
      <c r="N42" s="13"/>
      <c r="O42" s="14"/>
      <c r="P42" s="14"/>
      <c r="Q42" s="15"/>
      <c r="R42" s="16"/>
      <c r="S42" s="13"/>
      <c r="T42" s="14"/>
      <c r="U42" s="14"/>
      <c r="V42" s="15"/>
      <c r="W42" s="16"/>
      <c r="X42" s="17"/>
    </row>
    <row r="43" spans="2:24">
      <c r="B43" s="51" t="s">
        <v>309</v>
      </c>
      <c r="C43" s="52"/>
      <c r="D43" s="18"/>
      <c r="E43" s="19"/>
      <c r="F43" s="19"/>
      <c r="G43" s="20"/>
      <c r="H43" s="21">
        <f>SUM(H36:H42)</f>
        <v>0</v>
      </c>
      <c r="I43" s="18"/>
      <c r="J43" s="19"/>
      <c r="K43" s="19"/>
      <c r="L43" s="20"/>
      <c r="M43" s="21">
        <f>SUM(M36:M42)</f>
        <v>0</v>
      </c>
      <c r="N43" s="18"/>
      <c r="O43" s="19"/>
      <c r="P43" s="19"/>
      <c r="Q43" s="20"/>
      <c r="R43" s="21">
        <f>SUM(R36:R42)</f>
        <v>0</v>
      </c>
      <c r="S43" s="18"/>
      <c r="T43" s="19"/>
      <c r="U43" s="19"/>
      <c r="V43" s="20"/>
      <c r="W43" s="21">
        <f>SUM(W36:W42)</f>
        <v>0</v>
      </c>
      <c r="X43" s="22"/>
    </row>
    <row r="44" spans="2:24">
      <c r="B44" s="5">
        <v>43465</v>
      </c>
      <c r="C44" s="23" t="s">
        <v>347</v>
      </c>
      <c r="D44" s="6"/>
      <c r="E44" s="7"/>
      <c r="F44" s="7"/>
      <c r="G44" s="8"/>
      <c r="H44" s="9" t="str">
        <f>IF(G44="","",G44-8)</f>
        <v/>
      </c>
      <c r="I44" s="10"/>
      <c r="J44" s="7"/>
      <c r="K44" s="7"/>
      <c r="L44" s="8"/>
      <c r="M44" s="9" t="str">
        <f>IF(L44="","",L44-8)</f>
        <v/>
      </c>
      <c r="N44" s="10"/>
      <c r="O44" s="7"/>
      <c r="P44" s="7"/>
      <c r="Q44" s="8"/>
      <c r="R44" s="9" t="str">
        <f>IF(Q44="","",Q44-8)</f>
        <v/>
      </c>
      <c r="S44" s="6"/>
      <c r="T44" s="7"/>
      <c r="U44" s="7"/>
      <c r="V44" s="8"/>
      <c r="W44" s="9" t="str">
        <f>IF(V44="","",V44-8)</f>
        <v/>
      </c>
      <c r="X44" s="11"/>
    </row>
    <row r="45" spans="2:24">
      <c r="B45" s="50" t="s">
        <v>401</v>
      </c>
      <c r="C45" s="50"/>
      <c r="D45" s="1"/>
      <c r="E45" s="1"/>
      <c r="F45" s="1"/>
      <c r="G45" s="1"/>
      <c r="H45" s="25">
        <f>SUM(SUMIF($B$9:$B$50,"Total hours",H$9:H$50),'2018.11'!H$43:H$43)</f>
        <v>166</v>
      </c>
      <c r="I45" s="1"/>
      <c r="J45" s="1"/>
      <c r="K45" s="1"/>
      <c r="L45" s="1"/>
      <c r="M45" s="25">
        <f>SUM(SUMIF($B$9:$B$50,"Total hours",M$9:M$50),'2018.11'!M$43:M$43)</f>
        <v>95</v>
      </c>
      <c r="N45" s="1"/>
      <c r="O45" s="1"/>
      <c r="P45" s="1"/>
      <c r="Q45" s="1"/>
      <c r="R45" s="25">
        <f>SUM(SUMIF($B$9:$B$50,"Total hours",R$9:R$50),'2018.11'!R$43:R$43)</f>
        <v>61.5</v>
      </c>
      <c r="S45" s="1"/>
      <c r="T45" s="1"/>
      <c r="U45" s="1"/>
      <c r="V45" s="1"/>
      <c r="W45" s="25">
        <f>SUM(SUMIF($B$9:$B$50,"Total hours",W$9:W$50),'2018.11'!W$43:W$43)</f>
        <v>14.5</v>
      </c>
      <c r="X45" s="26"/>
    </row>
    <row r="47" spans="2:24">
      <c r="B47" s="27" t="s">
        <v>379</v>
      </c>
      <c r="C47" s="28"/>
      <c r="D47" s="28"/>
      <c r="E47" s="29"/>
      <c r="F47" s="29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  <c r="R47" s="30"/>
      <c r="S47" s="31"/>
    </row>
    <row r="48" spans="2:24">
      <c r="B48" s="32" t="s">
        <v>380</v>
      </c>
      <c r="C48" s="33" t="s">
        <v>381</v>
      </c>
      <c r="D48" s="34"/>
      <c r="E48" s="35"/>
      <c r="F48" s="35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6"/>
      <c r="R48" s="36"/>
      <c r="S48" s="37"/>
    </row>
    <row r="49" spans="2:19">
      <c r="B49" s="38"/>
      <c r="C49" s="34" t="s">
        <v>382</v>
      </c>
      <c r="D49" s="39"/>
      <c r="E49" s="35" t="s">
        <v>383</v>
      </c>
      <c r="F49" s="35"/>
      <c r="G49" s="34"/>
      <c r="H49" s="34"/>
      <c r="I49" s="34" t="s">
        <v>384</v>
      </c>
      <c r="J49" s="39"/>
      <c r="K49" s="35" t="s">
        <v>385</v>
      </c>
      <c r="L49" s="34"/>
      <c r="M49" s="34"/>
      <c r="N49" s="34"/>
      <c r="O49" s="34" t="s">
        <v>386</v>
      </c>
      <c r="P49" s="34"/>
      <c r="Q49" s="36" t="s">
        <v>387</v>
      </c>
      <c r="R49" s="36"/>
      <c r="S49" s="37"/>
    </row>
    <row r="50" spans="2:19">
      <c r="B50" s="38"/>
      <c r="C50" s="44" t="s">
        <v>388</v>
      </c>
      <c r="D50" s="45"/>
      <c r="E50" s="45"/>
      <c r="F50" s="45"/>
      <c r="G50" s="45"/>
      <c r="H50" s="45"/>
      <c r="I50" s="45"/>
      <c r="J50" s="45"/>
      <c r="K50" s="34"/>
      <c r="L50" s="34"/>
      <c r="M50" s="34"/>
      <c r="N50" s="46"/>
      <c r="O50" s="34"/>
      <c r="P50" s="34"/>
      <c r="Q50" s="36"/>
      <c r="R50" s="36"/>
      <c r="S50" s="37"/>
    </row>
    <row r="51" spans="2:19">
      <c r="B51" s="32" t="s">
        <v>389</v>
      </c>
      <c r="C51" s="33" t="s">
        <v>390</v>
      </c>
      <c r="D51" s="34"/>
      <c r="E51" s="35"/>
      <c r="F51" s="35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6"/>
      <c r="R51" s="36"/>
      <c r="S51" s="37"/>
    </row>
    <row r="52" spans="2:19">
      <c r="B52" s="32"/>
      <c r="C52" s="47" t="s">
        <v>391</v>
      </c>
      <c r="D52" s="34"/>
      <c r="E52" s="35"/>
      <c r="F52" s="35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6"/>
      <c r="R52" s="36"/>
      <c r="S52" s="37"/>
    </row>
    <row r="53" spans="2:19">
      <c r="B53" s="32"/>
      <c r="C53" s="48" t="s">
        <v>392</v>
      </c>
      <c r="D53" s="34"/>
      <c r="E53" s="35"/>
      <c r="F53" s="35" t="s">
        <v>393</v>
      </c>
      <c r="G53" s="34"/>
      <c r="H53" s="34"/>
      <c r="I53" s="34" t="s">
        <v>394</v>
      </c>
      <c r="J53" s="34"/>
      <c r="K53" s="34"/>
      <c r="L53" s="34" t="s">
        <v>395</v>
      </c>
      <c r="M53" s="34"/>
      <c r="N53" s="34"/>
      <c r="O53" s="34"/>
      <c r="P53" s="34"/>
      <c r="Q53" s="36"/>
      <c r="R53" s="36"/>
      <c r="S53" s="37"/>
    </row>
    <row r="54" spans="2:19">
      <c r="B54" s="38"/>
      <c r="C54" s="34"/>
      <c r="D54" s="34"/>
      <c r="E54" s="35"/>
      <c r="F54" s="35" t="s">
        <v>396</v>
      </c>
      <c r="G54" s="34"/>
      <c r="H54" s="34"/>
      <c r="I54" s="34" t="s">
        <v>397</v>
      </c>
      <c r="J54" s="34"/>
      <c r="K54" s="34"/>
      <c r="L54" s="34"/>
      <c r="M54" s="34"/>
      <c r="N54" s="34"/>
      <c r="O54" s="34"/>
      <c r="P54" s="34"/>
      <c r="Q54" s="36"/>
      <c r="R54" s="36"/>
      <c r="S54" s="37"/>
    </row>
    <row r="55" spans="2:19">
      <c r="B55" s="32" t="s">
        <v>398</v>
      </c>
      <c r="C55" s="33" t="s">
        <v>399</v>
      </c>
      <c r="D55" s="34"/>
      <c r="E55" s="35"/>
      <c r="F55" s="35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6"/>
      <c r="R55" s="36"/>
      <c r="S55" s="37"/>
    </row>
    <row r="56" spans="2:19">
      <c r="B56" s="40"/>
      <c r="C56" s="41" t="s">
        <v>400</v>
      </c>
      <c r="D56" s="41"/>
      <c r="E56" s="42"/>
      <c r="F56" s="42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3"/>
      <c r="R56" s="43"/>
      <c r="S56" s="49"/>
    </row>
  </sheetData>
  <mergeCells count="14">
    <mergeCell ref="S7:W7"/>
    <mergeCell ref="X7:X8"/>
    <mergeCell ref="B4:X4"/>
    <mergeCell ref="B7:B8"/>
    <mergeCell ref="C7:C8"/>
    <mergeCell ref="D7:H7"/>
    <mergeCell ref="I7:M7"/>
    <mergeCell ref="N7:R7"/>
    <mergeCell ref="B11:C11"/>
    <mergeCell ref="B19:C19"/>
    <mergeCell ref="B27:C27"/>
    <mergeCell ref="B35:C35"/>
    <mergeCell ref="B43:C43"/>
    <mergeCell ref="B45:C4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3:X28"/>
  <sheetViews>
    <sheetView zoomScale="85" zoomScaleNormal="85" workbookViewId="0">
      <selection activeCell="I18" sqref="I18"/>
    </sheetView>
  </sheetViews>
  <sheetFormatPr defaultRowHeight="15"/>
  <cols>
    <col min="24" max="24" width="11.140625" bestFit="1" customWidth="1"/>
  </cols>
  <sheetData>
    <row r="3" spans="2:24" ht="15.75" thickBot="1"/>
    <row r="4" spans="2:24" ht="24" thickBot="1">
      <c r="B4" s="55" t="s">
        <v>0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7"/>
    </row>
    <row r="5" spans="2:24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ht="15.75" thickBo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>
      <c r="B7" s="58" t="s">
        <v>298</v>
      </c>
      <c r="C7" s="60" t="s">
        <v>299</v>
      </c>
      <c r="D7" s="62" t="s">
        <v>300</v>
      </c>
      <c r="E7" s="63"/>
      <c r="F7" s="63"/>
      <c r="G7" s="63"/>
      <c r="H7" s="64"/>
      <c r="I7" s="62" t="s">
        <v>301</v>
      </c>
      <c r="J7" s="63"/>
      <c r="K7" s="63"/>
      <c r="L7" s="63"/>
      <c r="M7" s="64"/>
      <c r="N7" s="62" t="s">
        <v>302</v>
      </c>
      <c r="O7" s="63"/>
      <c r="P7" s="63"/>
      <c r="Q7" s="63"/>
      <c r="R7" s="64"/>
      <c r="S7" s="62" t="s">
        <v>377</v>
      </c>
      <c r="T7" s="63"/>
      <c r="U7" s="63"/>
      <c r="V7" s="63"/>
      <c r="W7" s="64"/>
      <c r="X7" s="53" t="s">
        <v>303</v>
      </c>
    </row>
    <row r="8" spans="2:24">
      <c r="B8" s="59"/>
      <c r="C8" s="61"/>
      <c r="D8" s="2" t="s">
        <v>304</v>
      </c>
      <c r="E8" s="3" t="s">
        <v>305</v>
      </c>
      <c r="F8" s="3" t="s">
        <v>306</v>
      </c>
      <c r="G8" s="3" t="s">
        <v>307</v>
      </c>
      <c r="H8" s="4" t="s">
        <v>308</v>
      </c>
      <c r="I8" s="2" t="s">
        <v>304</v>
      </c>
      <c r="J8" s="3" t="s">
        <v>305</v>
      </c>
      <c r="K8" s="3" t="s">
        <v>306</v>
      </c>
      <c r="L8" s="3" t="s">
        <v>307</v>
      </c>
      <c r="M8" s="4" t="s">
        <v>308</v>
      </c>
      <c r="N8" s="2" t="s">
        <v>304</v>
      </c>
      <c r="O8" s="3" t="s">
        <v>305</v>
      </c>
      <c r="P8" s="3" t="s">
        <v>306</v>
      </c>
      <c r="Q8" s="3" t="s">
        <v>307</v>
      </c>
      <c r="R8" s="4" t="s">
        <v>308</v>
      </c>
      <c r="S8" s="2" t="s">
        <v>304</v>
      </c>
      <c r="T8" s="3" t="s">
        <v>305</v>
      </c>
      <c r="U8" s="3" t="s">
        <v>306</v>
      </c>
      <c r="V8" s="3" t="s">
        <v>307</v>
      </c>
      <c r="W8" s="4" t="s">
        <v>308</v>
      </c>
      <c r="X8" s="54"/>
    </row>
    <row r="9" spans="2:24">
      <c r="B9" s="5">
        <v>42772</v>
      </c>
      <c r="C9" s="23" t="s">
        <v>1</v>
      </c>
      <c r="D9" s="6"/>
      <c r="E9" s="7"/>
      <c r="F9" s="7"/>
      <c r="G9" s="8"/>
      <c r="H9" s="9"/>
      <c r="I9" s="10"/>
      <c r="J9" s="7"/>
      <c r="K9" s="7"/>
      <c r="L9" s="8"/>
      <c r="M9" s="9"/>
      <c r="N9" s="10"/>
      <c r="O9" s="7"/>
      <c r="P9" s="7"/>
      <c r="Q9" s="8"/>
      <c r="R9" s="9"/>
      <c r="S9" s="6"/>
      <c r="T9" s="7"/>
      <c r="U9" s="7"/>
      <c r="V9" s="8"/>
      <c r="W9" s="9"/>
      <c r="X9" s="11"/>
    </row>
    <row r="10" spans="2:24">
      <c r="B10" s="5">
        <v>42773</v>
      </c>
      <c r="C10" s="23" t="s">
        <v>29</v>
      </c>
      <c r="D10" s="6"/>
      <c r="E10" s="7"/>
      <c r="F10" s="7"/>
      <c r="G10" s="8"/>
      <c r="H10" s="9"/>
      <c r="I10" s="10"/>
      <c r="J10" s="7"/>
      <c r="K10" s="7"/>
      <c r="L10" s="8"/>
      <c r="M10" s="9"/>
      <c r="N10" s="10"/>
      <c r="O10" s="7"/>
      <c r="P10" s="7"/>
      <c r="Q10" s="8"/>
      <c r="R10" s="9"/>
      <c r="S10" s="6"/>
      <c r="T10" s="7"/>
      <c r="U10" s="7"/>
      <c r="V10" s="8"/>
      <c r="W10" s="9"/>
      <c r="X10" s="11"/>
    </row>
    <row r="11" spans="2:24">
      <c r="B11" s="5">
        <v>42774</v>
      </c>
      <c r="C11" s="23" t="s">
        <v>30</v>
      </c>
      <c r="D11" s="6"/>
      <c r="E11" s="7"/>
      <c r="F11" s="7"/>
      <c r="G11" s="8"/>
      <c r="H11" s="9"/>
      <c r="I11" s="10"/>
      <c r="J11" s="7"/>
      <c r="K11" s="7"/>
      <c r="L11" s="8"/>
      <c r="M11" s="9"/>
      <c r="N11" s="10"/>
      <c r="O11" s="7"/>
      <c r="P11" s="7"/>
      <c r="Q11" s="8"/>
      <c r="R11" s="9"/>
      <c r="S11" s="6"/>
      <c r="T11" s="7"/>
      <c r="U11" s="7"/>
      <c r="V11" s="8"/>
      <c r="W11" s="9"/>
      <c r="X11" s="11"/>
    </row>
    <row r="12" spans="2:24">
      <c r="B12" s="5">
        <v>42775</v>
      </c>
      <c r="C12" s="23" t="s">
        <v>31</v>
      </c>
      <c r="D12" s="6"/>
      <c r="E12" s="7"/>
      <c r="F12" s="7"/>
      <c r="G12" s="8"/>
      <c r="H12" s="9"/>
      <c r="I12" s="10"/>
      <c r="J12" s="7"/>
      <c r="K12" s="7"/>
      <c r="L12" s="8"/>
      <c r="M12" s="9"/>
      <c r="N12" s="10"/>
      <c r="O12" s="7"/>
      <c r="P12" s="7"/>
      <c r="Q12" s="8"/>
      <c r="R12" s="9"/>
      <c r="S12" s="6"/>
      <c r="T12" s="7"/>
      <c r="U12" s="7"/>
      <c r="V12" s="8"/>
      <c r="W12" s="9"/>
      <c r="X12" s="11"/>
    </row>
    <row r="13" spans="2:24">
      <c r="B13" s="5">
        <v>42776</v>
      </c>
      <c r="C13" s="23" t="s">
        <v>32</v>
      </c>
      <c r="D13" s="6"/>
      <c r="E13" s="7"/>
      <c r="F13" s="7"/>
      <c r="G13" s="8"/>
      <c r="H13" s="9"/>
      <c r="I13" s="10"/>
      <c r="J13" s="7"/>
      <c r="K13" s="7"/>
      <c r="L13" s="8"/>
      <c r="M13" s="9"/>
      <c r="N13" s="10"/>
      <c r="O13" s="7"/>
      <c r="P13" s="7"/>
      <c r="Q13" s="8"/>
      <c r="R13" s="9"/>
      <c r="S13" s="6"/>
      <c r="T13" s="7"/>
      <c r="U13" s="7"/>
      <c r="V13" s="8"/>
      <c r="W13" s="9"/>
      <c r="X13" s="11"/>
    </row>
    <row r="14" spans="2:24">
      <c r="B14" s="12">
        <v>42777</v>
      </c>
      <c r="C14" s="24" t="s">
        <v>33</v>
      </c>
      <c r="D14" s="13"/>
      <c r="E14" s="14"/>
      <c r="F14" s="14"/>
      <c r="G14" s="15"/>
      <c r="H14" s="16"/>
      <c r="I14" s="13"/>
      <c r="J14" s="14"/>
      <c r="K14" s="14"/>
      <c r="L14" s="15"/>
      <c r="M14" s="16"/>
      <c r="N14" s="13"/>
      <c r="O14" s="14"/>
      <c r="P14" s="14"/>
      <c r="Q14" s="15"/>
      <c r="R14" s="16"/>
      <c r="S14" s="13"/>
      <c r="T14" s="14"/>
      <c r="U14" s="14"/>
      <c r="V14" s="15"/>
      <c r="W14" s="16"/>
      <c r="X14" s="17"/>
    </row>
    <row r="15" spans="2:24">
      <c r="B15" s="12">
        <v>42778</v>
      </c>
      <c r="C15" s="24" t="s">
        <v>28</v>
      </c>
      <c r="D15" s="13"/>
      <c r="E15" s="14"/>
      <c r="F15" s="14"/>
      <c r="G15" s="15"/>
      <c r="H15" s="16"/>
      <c r="I15" s="13"/>
      <c r="J15" s="14"/>
      <c r="K15" s="14"/>
      <c r="L15" s="15"/>
      <c r="M15" s="16"/>
      <c r="N15" s="13"/>
      <c r="O15" s="14"/>
      <c r="P15" s="14"/>
      <c r="Q15" s="15"/>
      <c r="R15" s="16"/>
      <c r="S15" s="13"/>
      <c r="T15" s="14"/>
      <c r="U15" s="14"/>
      <c r="V15" s="15"/>
      <c r="W15" s="16"/>
      <c r="X15" s="17"/>
    </row>
    <row r="16" spans="2:24">
      <c r="B16" s="51" t="s">
        <v>309</v>
      </c>
      <c r="C16" s="52"/>
      <c r="D16" s="18"/>
      <c r="E16" s="19"/>
      <c r="F16" s="19"/>
      <c r="G16" s="20"/>
      <c r="H16" s="21"/>
      <c r="I16" s="18"/>
      <c r="J16" s="19"/>
      <c r="K16" s="19"/>
      <c r="L16" s="20"/>
      <c r="M16" s="21"/>
      <c r="N16" s="18"/>
      <c r="O16" s="19"/>
      <c r="P16" s="19"/>
      <c r="Q16" s="20"/>
      <c r="R16" s="21"/>
      <c r="S16" s="18"/>
      <c r="T16" s="19"/>
      <c r="U16" s="19"/>
      <c r="V16" s="20"/>
      <c r="W16" s="21"/>
      <c r="X16" s="22"/>
    </row>
    <row r="17" spans="2:24">
      <c r="B17" s="50" t="s">
        <v>378</v>
      </c>
      <c r="C17" s="50"/>
      <c r="D17" s="1"/>
      <c r="E17" s="1"/>
      <c r="F17" s="1"/>
      <c r="G17" s="1"/>
      <c r="H17" s="25"/>
      <c r="I17" s="1"/>
      <c r="J17" s="1"/>
      <c r="K17" s="1"/>
      <c r="L17" s="1"/>
      <c r="M17" s="25"/>
      <c r="N17" s="1"/>
      <c r="O17" s="1"/>
      <c r="P17" s="1"/>
      <c r="Q17" s="1"/>
      <c r="R17" s="25"/>
      <c r="S17" s="1"/>
      <c r="T17" s="1"/>
      <c r="U17" s="1"/>
      <c r="V17" s="1"/>
      <c r="W17" s="25"/>
      <c r="X17" s="26"/>
    </row>
    <row r="18" spans="2:24">
      <c r="B18" s="1" t="s">
        <v>402</v>
      </c>
      <c r="C18" s="1"/>
      <c r="D18" s="1"/>
      <c r="E18" s="1"/>
      <c r="F18" s="1"/>
      <c r="G18" s="1"/>
      <c r="H18" s="1">
        <v>148</v>
      </c>
      <c r="I18" s="1"/>
      <c r="J18" s="1"/>
      <c r="K18" s="1"/>
      <c r="L18" s="1"/>
      <c r="M18" s="1">
        <v>91</v>
      </c>
      <c r="N18" s="1"/>
      <c r="O18" s="1"/>
      <c r="P18" s="1"/>
      <c r="Q18" s="1"/>
      <c r="R18" s="1">
        <v>58.5</v>
      </c>
      <c r="S18" s="1"/>
      <c r="T18" s="1"/>
      <c r="U18" s="1"/>
      <c r="V18" s="1"/>
      <c r="W18" s="1">
        <v>11</v>
      </c>
      <c r="X18" s="1"/>
    </row>
    <row r="19" spans="2:24">
      <c r="B19" s="27" t="s">
        <v>379</v>
      </c>
      <c r="C19" s="28"/>
      <c r="D19" s="28"/>
      <c r="E19" s="29"/>
      <c r="F19" s="29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30"/>
      <c r="R19" s="30"/>
      <c r="S19" s="31"/>
      <c r="T19" s="1"/>
      <c r="U19" s="1"/>
      <c r="V19" s="1"/>
      <c r="W19" s="1"/>
      <c r="X19" s="1"/>
    </row>
    <row r="20" spans="2:24">
      <c r="B20" s="32" t="s">
        <v>380</v>
      </c>
      <c r="C20" s="33" t="s">
        <v>381</v>
      </c>
      <c r="D20" s="34"/>
      <c r="E20" s="35"/>
      <c r="F20" s="35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6"/>
      <c r="R20" s="36"/>
      <c r="S20" s="37"/>
      <c r="T20" s="1"/>
      <c r="U20" s="1"/>
      <c r="V20" s="1"/>
      <c r="W20" s="1"/>
      <c r="X20" s="1"/>
    </row>
    <row r="21" spans="2:24">
      <c r="B21" s="38"/>
      <c r="C21" s="34" t="s">
        <v>382</v>
      </c>
      <c r="D21" s="39"/>
      <c r="E21" s="35" t="s">
        <v>383</v>
      </c>
      <c r="F21" s="35"/>
      <c r="G21" s="34"/>
      <c r="H21" s="34"/>
      <c r="I21" s="34" t="s">
        <v>384</v>
      </c>
      <c r="J21" s="39"/>
      <c r="K21" s="35" t="s">
        <v>385</v>
      </c>
      <c r="L21" s="34"/>
      <c r="M21" s="34"/>
      <c r="N21" s="34"/>
      <c r="O21" s="34" t="s">
        <v>386</v>
      </c>
      <c r="P21" s="34"/>
      <c r="Q21" s="36" t="s">
        <v>387</v>
      </c>
      <c r="R21" s="36"/>
      <c r="S21" s="37"/>
      <c r="T21" s="1"/>
      <c r="U21" s="1"/>
      <c r="V21" s="1"/>
      <c r="W21" s="1"/>
      <c r="X21" s="1"/>
    </row>
    <row r="22" spans="2:24">
      <c r="B22" s="38"/>
      <c r="C22" s="44" t="s">
        <v>388</v>
      </c>
      <c r="D22" s="45"/>
      <c r="E22" s="45"/>
      <c r="F22" s="45"/>
      <c r="G22" s="45"/>
      <c r="H22" s="45"/>
      <c r="I22" s="45"/>
      <c r="J22" s="45"/>
      <c r="K22" s="34"/>
      <c r="L22" s="34"/>
      <c r="M22" s="34"/>
      <c r="N22" s="46"/>
      <c r="O22" s="34"/>
      <c r="P22" s="34"/>
      <c r="Q22" s="36"/>
      <c r="R22" s="36"/>
      <c r="S22" s="37"/>
      <c r="T22" s="1"/>
      <c r="U22" s="1"/>
      <c r="V22" s="1"/>
      <c r="W22" s="1"/>
      <c r="X22" s="1"/>
    </row>
    <row r="23" spans="2:24">
      <c r="B23" s="32" t="s">
        <v>389</v>
      </c>
      <c r="C23" s="33" t="s">
        <v>390</v>
      </c>
      <c r="D23" s="34"/>
      <c r="E23" s="35"/>
      <c r="F23" s="35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6"/>
      <c r="R23" s="36"/>
      <c r="S23" s="37"/>
      <c r="T23" s="1"/>
      <c r="U23" s="1"/>
      <c r="V23" s="1"/>
      <c r="W23" s="1"/>
      <c r="X23" s="1"/>
    </row>
    <row r="24" spans="2:24">
      <c r="B24" s="32"/>
      <c r="C24" s="47" t="s">
        <v>391</v>
      </c>
      <c r="D24" s="34"/>
      <c r="E24" s="35"/>
      <c r="F24" s="35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6"/>
      <c r="R24" s="36"/>
      <c r="S24" s="37"/>
      <c r="T24" s="1"/>
      <c r="U24" s="1"/>
      <c r="V24" s="1"/>
      <c r="W24" s="1"/>
      <c r="X24" s="1"/>
    </row>
    <row r="25" spans="2:24">
      <c r="B25" s="32"/>
      <c r="C25" s="48" t="s">
        <v>392</v>
      </c>
      <c r="D25" s="34"/>
      <c r="E25" s="35"/>
      <c r="F25" s="35" t="s">
        <v>393</v>
      </c>
      <c r="G25" s="34"/>
      <c r="H25" s="34"/>
      <c r="I25" s="34" t="s">
        <v>394</v>
      </c>
      <c r="J25" s="34"/>
      <c r="K25" s="34"/>
      <c r="L25" s="34" t="s">
        <v>395</v>
      </c>
      <c r="M25" s="34"/>
      <c r="N25" s="34"/>
      <c r="O25" s="34"/>
      <c r="P25" s="34"/>
      <c r="Q25" s="36"/>
      <c r="R25" s="36"/>
      <c r="S25" s="37"/>
      <c r="T25" s="1"/>
      <c r="U25" s="1"/>
      <c r="V25" s="1"/>
      <c r="W25" s="1"/>
      <c r="X25" s="1"/>
    </row>
    <row r="26" spans="2:24">
      <c r="B26" s="38"/>
      <c r="C26" s="34"/>
      <c r="D26" s="34"/>
      <c r="E26" s="35"/>
      <c r="F26" s="35" t="s">
        <v>396</v>
      </c>
      <c r="G26" s="34"/>
      <c r="H26" s="34"/>
      <c r="I26" s="34" t="s">
        <v>397</v>
      </c>
      <c r="J26" s="34"/>
      <c r="K26" s="34"/>
      <c r="L26" s="34"/>
      <c r="M26" s="34"/>
      <c r="N26" s="34"/>
      <c r="O26" s="34"/>
      <c r="P26" s="34"/>
      <c r="Q26" s="36"/>
      <c r="R26" s="36"/>
      <c r="S26" s="37"/>
      <c r="T26" s="1"/>
      <c r="U26" s="1"/>
      <c r="V26" s="1"/>
      <c r="W26" s="1"/>
      <c r="X26" s="1"/>
    </row>
    <row r="27" spans="2:24">
      <c r="B27" s="32" t="s">
        <v>398</v>
      </c>
      <c r="C27" s="33" t="s">
        <v>399</v>
      </c>
      <c r="D27" s="34"/>
      <c r="E27" s="35"/>
      <c r="F27" s="35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6"/>
      <c r="R27" s="36"/>
      <c r="S27" s="37"/>
      <c r="T27" s="1"/>
      <c r="U27" s="1"/>
      <c r="V27" s="1"/>
      <c r="W27" s="1"/>
      <c r="X27" s="1"/>
    </row>
    <row r="28" spans="2:24">
      <c r="B28" s="40"/>
      <c r="C28" s="41" t="s">
        <v>400</v>
      </c>
      <c r="D28" s="41"/>
      <c r="E28" s="42"/>
      <c r="F28" s="42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3"/>
      <c r="R28" s="43"/>
      <c r="S28" s="49"/>
      <c r="T28" s="1"/>
      <c r="U28" s="1"/>
      <c r="V28" s="1"/>
      <c r="W28" s="1"/>
      <c r="X28" s="1"/>
    </row>
  </sheetData>
  <mergeCells count="10">
    <mergeCell ref="B4:X4"/>
    <mergeCell ref="B16:C16"/>
    <mergeCell ref="B7:B8"/>
    <mergeCell ref="C7:C8"/>
    <mergeCell ref="B17:C17"/>
    <mergeCell ref="D7:H7"/>
    <mergeCell ref="I7:M7"/>
    <mergeCell ref="N7:R7"/>
    <mergeCell ref="S7:W7"/>
    <mergeCell ref="X7: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19</xdr:col>
                <xdr:colOff>209550</xdr:colOff>
                <xdr:row>18</xdr:row>
                <xdr:rowOff>85725</xdr:rowOff>
              </from>
              <to>
                <xdr:col>20</xdr:col>
                <xdr:colOff>323850</xdr:colOff>
                <xdr:row>20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2018.1</vt:lpstr>
      <vt:lpstr>2018.2</vt:lpstr>
      <vt:lpstr>2018.3</vt:lpstr>
      <vt:lpstr>2018.4</vt:lpstr>
      <vt:lpstr>2018.5</vt:lpstr>
      <vt:lpstr>2018.6</vt:lpstr>
      <vt:lpstr>2018.7</vt:lpstr>
      <vt:lpstr>2018.8</vt:lpstr>
      <vt:lpstr>2018.9</vt:lpstr>
      <vt:lpstr>2018.10</vt:lpstr>
      <vt:lpstr>2018.11</vt:lpstr>
      <vt:lpstr>2018.12</vt:lpstr>
      <vt:lpstr>Config</vt:lpstr>
    </vt:vector>
  </TitlesOfParts>
  <Company>INDITEX,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 Shi</dc:creator>
  <cp:lastModifiedBy>Qi Shi</cp:lastModifiedBy>
  <dcterms:created xsi:type="dcterms:W3CDTF">2016-09-21T07:31:15Z</dcterms:created>
  <dcterms:modified xsi:type="dcterms:W3CDTF">2018-02-14T08:35:11Z</dcterms:modified>
</cp:coreProperties>
</file>